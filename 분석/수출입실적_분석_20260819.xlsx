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출입 총괄" sheetId="1" state="visible" r:id="rId3"/>
    <sheet name="수출입 실적(성질별)" sheetId="2" state="visible" r:id="rId4"/>
    <sheet name="수출입 실적(신성질별)" sheetId="3" state="visible" r:id="rId5"/>
    <sheet name="분석1_정합성검증" sheetId="4" state="visible" r:id="rId6"/>
    <sheet name="분석2_월별추이" sheetId="5" state="visible" r:id="rId7"/>
    <sheet name="분석3_품목별증감" sheetId="6" state="visible" r:id="rId8"/>
    <sheet name="분석4_그래프" sheetId="7" state="visible" r:id="rId9"/>
    <sheet name="분석5_전년대비(입력)" sheetId="8" state="visible" r:id="rId10"/>
    <sheet name="분석6_해설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<sst xmlns="http://schemas.openxmlformats.org/spreadsheetml/2006/main" count="716" uniqueCount="287">
  <si>
    <t xml:space="preserve">수출입 총괄</t>
  </si>
  <si>
    <r>
      <rPr>
        <sz val="11"/>
        <color rgb="FF000000"/>
        <rFont val="WenQuanYi Zen Hei"/>
        <family val="2"/>
      </rPr>
      <t xml:space="preserve">검색조건  조회기간</t>
    </r>
    <r>
      <rPr>
        <sz val="11"/>
        <color rgb="FF000000"/>
        <rFont val="맑은 고딕"/>
        <family val="2"/>
        <charset val="1"/>
      </rPr>
      <t xml:space="preserve">: 202601 ~ 202607 , </t>
    </r>
    <r>
      <rPr>
        <sz val="11"/>
        <color rgb="FF000000"/>
        <rFont val="WenQuanYi Zen Hei"/>
        <family val="2"/>
      </rPr>
      <t xml:space="preserve">통계기준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수리일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중량단위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톤</t>
    </r>
  </si>
  <si>
    <r>
      <rPr>
        <sz val="11"/>
        <color rgb="FF000000"/>
        <rFont val="WenQuanYi Zen Hei"/>
        <family val="2"/>
      </rPr>
      <t xml:space="preserve">단위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건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톤</t>
    </r>
    <r>
      <rPr>
        <sz val="11"/>
        <color rgb="FF000000"/>
        <rFont val="맑은 고딕"/>
        <family val="2"/>
        <charset val="1"/>
      </rPr>
      <t xml:space="preserve">(TON), </t>
    </r>
    <r>
      <rPr>
        <sz val="11"/>
        <color rgb="FF000000"/>
        <rFont val="WenQuanYi Zen Hei"/>
        <family val="2"/>
      </rPr>
      <t xml:space="preserve">천 달러</t>
    </r>
  </si>
  <si>
    <t xml:space="preserve">기간</t>
  </si>
  <si>
    <t xml:space="preserve">조업일수</t>
  </si>
  <si>
    <t xml:space="preserve">수출 건수</t>
  </si>
  <si>
    <t xml:space="preserve">수출 중량</t>
  </si>
  <si>
    <t xml:space="preserve">수출 금액</t>
  </si>
  <si>
    <t xml:space="preserve">수입 건수</t>
  </si>
  <si>
    <t xml:space="preserve">수입중량</t>
  </si>
  <si>
    <t xml:space="preserve">수입금액</t>
  </si>
  <si>
    <t xml:space="preserve">무역수지</t>
  </si>
  <si>
    <t xml:space="preserve">총계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</si>
  <si>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</si>
  <si>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</si>
  <si>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</si>
  <si>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</si>
  <si>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</si>
  <si>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</si>
  <si>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</si>
  <si>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r>
      <rPr>
        <b val="true"/>
        <sz val="18"/>
        <rFont val="WenQuanYi Zen Hei"/>
        <family val="2"/>
      </rPr>
      <t xml:space="preserve">수출입실적</t>
    </r>
    <r>
      <rPr>
        <b val="true"/>
        <sz val="18"/>
        <rFont val="Calibri"/>
        <family val="2"/>
        <charset val="1"/>
      </rPr>
      <t xml:space="preserve">(</t>
    </r>
    <r>
      <rPr>
        <b val="true"/>
        <sz val="18"/>
        <rFont val="WenQuanYi Zen Hei"/>
        <family val="2"/>
      </rPr>
      <t xml:space="preserve">성질별</t>
    </r>
    <r>
      <rPr>
        <b val="true"/>
        <sz val="18"/>
        <rFont val="Calibri"/>
        <family val="2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</si>
  <si>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검색조건통계항목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성질별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성질명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수출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전체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세부성질유무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무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조회기간</t>
    </r>
    <r>
      <rPr>
        <sz val="11"/>
        <color rgb="FF000000"/>
        <rFont val="맑은 고딕"/>
        <family val="2"/>
        <charset val="1"/>
      </rPr>
      <t xml:space="preserve">:202601~202607,</t>
    </r>
    <r>
      <rPr>
        <sz val="11"/>
        <color rgb="FF000000"/>
        <rFont val="WenQuanYi Zen Hei"/>
        <family val="2"/>
      </rPr>
      <t xml:space="preserve">통계기준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수리일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중량단위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톤</t>
    </r>
  </si>
  <si>
    <r>
      <rPr>
        <sz val="11"/>
        <color rgb="FF000000"/>
        <rFont val="WenQuanYi Zen Hei"/>
        <family val="2"/>
      </rPr>
      <t xml:space="preserve">단위</t>
    </r>
    <r>
      <rPr>
        <sz val="11"/>
        <color rgb="FF000000"/>
        <rFont val="맑은 고딕"/>
        <family val="2"/>
        <charset val="1"/>
      </rPr>
      <t xml:space="preserve">:</t>
    </r>
    <r>
      <rPr>
        <sz val="11"/>
        <color rgb="FF000000"/>
        <rFont val="WenQuanYi Zen Hei"/>
        <family val="2"/>
      </rPr>
      <t xml:space="preserve">톤</t>
    </r>
    <r>
      <rPr>
        <sz val="11"/>
        <color rgb="FF000000"/>
        <rFont val="맑은 고딕"/>
        <family val="2"/>
        <charset val="1"/>
      </rPr>
      <t xml:space="preserve">(TON),</t>
    </r>
    <r>
      <rPr>
        <sz val="11"/>
        <color rgb="FF000000"/>
        <rFont val="WenQuanYi Zen Hei"/>
        <family val="2"/>
      </rPr>
      <t xml:space="preserve">천달러</t>
    </r>
  </si>
  <si>
    <t xml:space="preserve">성질명</t>
  </si>
  <si>
    <t xml:space="preserve">중량</t>
  </si>
  <si>
    <t xml:space="preserve">금액</t>
  </si>
  <si>
    <r>
      <rPr>
        <sz val="11"/>
        <color rgb="FF000000"/>
        <rFont val="맑은 고딕"/>
        <family val="2"/>
        <charset val="1"/>
      </rPr>
      <t xml:space="preserve">1.</t>
    </r>
    <r>
      <rPr>
        <sz val="11"/>
        <color rgb="FF000000"/>
        <rFont val="WenQuanYi Zen Hei"/>
        <family val="2"/>
      </rPr>
      <t xml:space="preserve">식료및직접소비재</t>
    </r>
  </si>
  <si>
    <r>
      <rPr>
        <sz val="11"/>
        <color rgb="FF000000"/>
        <rFont val="맑은 고딕"/>
        <family val="2"/>
        <charset val="1"/>
      </rPr>
      <t xml:space="preserve">2.</t>
    </r>
    <r>
      <rPr>
        <sz val="11"/>
        <color rgb="FF000000"/>
        <rFont val="WenQuanYi Zen Hei"/>
        <family val="2"/>
      </rPr>
      <t xml:space="preserve">원료및연료</t>
    </r>
  </si>
  <si>
    <r>
      <rPr>
        <sz val="11"/>
        <color rgb="FF000000"/>
        <rFont val="맑은 고딕"/>
        <family val="2"/>
        <charset val="1"/>
      </rPr>
      <t xml:space="preserve">3.</t>
    </r>
    <r>
      <rPr>
        <sz val="11"/>
        <color rgb="FF000000"/>
        <rFont val="WenQuanYi Zen Hei"/>
        <family val="2"/>
      </rPr>
      <t xml:space="preserve">경공업품</t>
    </r>
  </si>
  <si>
    <r>
      <rPr>
        <sz val="11"/>
        <color rgb="FF000000"/>
        <rFont val="WenQuanYi Zen Hei"/>
        <family val="2"/>
      </rPr>
      <t xml:space="preserve">가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섬유원료</t>
    </r>
  </si>
  <si>
    <r>
      <rPr>
        <sz val="11"/>
        <color rgb="FF000000"/>
        <rFont val="WenQuanYi Zen Hei"/>
        <family val="2"/>
      </rPr>
      <t xml:space="preserve">나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섬유사</t>
    </r>
  </si>
  <si>
    <r>
      <rPr>
        <sz val="11"/>
        <color rgb="FF000000"/>
        <rFont val="WenQuanYi Zen Hei"/>
        <family val="2"/>
      </rPr>
      <t xml:space="preserve">다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직물</t>
    </r>
  </si>
  <si>
    <r>
      <rPr>
        <sz val="11"/>
        <color rgb="FF000000"/>
        <rFont val="WenQuanYi Zen Hei"/>
        <family val="2"/>
      </rPr>
      <t xml:space="preserve">라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기타섬유제품</t>
    </r>
  </si>
  <si>
    <r>
      <rPr>
        <sz val="11"/>
        <color rgb="FF000000"/>
        <rFont val="WenQuanYi Zen Hei"/>
        <family val="2"/>
      </rPr>
      <t xml:space="preserve">마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의류</t>
    </r>
  </si>
  <si>
    <r>
      <rPr>
        <sz val="11"/>
        <color rgb="FF000000"/>
        <rFont val="WenQuanYi Zen Hei"/>
        <family val="2"/>
      </rPr>
      <t xml:space="preserve">바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목제품</t>
    </r>
  </si>
  <si>
    <r>
      <rPr>
        <sz val="11"/>
        <color rgb="FF000000"/>
        <rFont val="WenQuanYi Zen Hei"/>
        <family val="2"/>
      </rPr>
      <t xml:space="preserve">사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가죽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고무및신발류</t>
    </r>
  </si>
  <si>
    <r>
      <rPr>
        <sz val="11"/>
        <color rgb="FF000000"/>
        <rFont val="WenQuanYi Zen Hei"/>
        <family val="2"/>
      </rPr>
      <t xml:space="preserve">아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귀금속및보석류</t>
    </r>
  </si>
  <si>
    <r>
      <rPr>
        <sz val="11"/>
        <color rgb="FF000000"/>
        <rFont val="WenQuanYi Zen Hei"/>
        <family val="2"/>
      </rPr>
      <t xml:space="preserve">자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기타비금속광물제품</t>
    </r>
  </si>
  <si>
    <r>
      <rPr>
        <sz val="11"/>
        <color rgb="FF000000"/>
        <rFont val="WenQuanYi Zen Hei"/>
        <family val="2"/>
      </rPr>
      <t xml:space="preserve">차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완구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운동용구및악기</t>
    </r>
  </si>
  <si>
    <r>
      <rPr>
        <sz val="11"/>
        <color rgb="FF000000"/>
        <rFont val="WenQuanYi Zen Hei"/>
        <family val="2"/>
      </rPr>
      <t xml:space="preserve">카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기타</t>
    </r>
  </si>
  <si>
    <r>
      <rPr>
        <sz val="11"/>
        <color rgb="FF000000"/>
        <rFont val="맑은 고딕"/>
        <family val="2"/>
        <charset val="1"/>
      </rPr>
      <t xml:space="preserve">4.</t>
    </r>
    <r>
      <rPr>
        <sz val="11"/>
        <color rgb="FF000000"/>
        <rFont val="WenQuanYi Zen Hei"/>
        <family val="2"/>
      </rPr>
      <t xml:space="preserve">중화학공업품</t>
    </r>
  </si>
  <si>
    <r>
      <rPr>
        <sz val="11"/>
        <color rgb="FF000000"/>
        <rFont val="WenQuanYi Zen Hei"/>
        <family val="2"/>
      </rPr>
      <t xml:space="preserve">가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화공품</t>
    </r>
  </si>
  <si>
    <r>
      <rPr>
        <sz val="11"/>
        <color rgb="FF000000"/>
        <rFont val="WenQuanYi Zen Hei"/>
        <family val="2"/>
      </rPr>
      <t xml:space="preserve">나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철강제품</t>
    </r>
  </si>
  <si>
    <r>
      <rPr>
        <sz val="11"/>
        <color rgb="FF000000"/>
        <rFont val="WenQuanYi Zen Hei"/>
        <family val="2"/>
      </rPr>
      <t xml:space="preserve">다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기계류와정밀기기</t>
    </r>
  </si>
  <si>
    <r>
      <rPr>
        <sz val="11"/>
        <color rgb="FF000000"/>
        <rFont val="WenQuanYi Zen Hei"/>
        <family val="2"/>
      </rPr>
      <t xml:space="preserve">라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전기</t>
    </r>
    <r>
      <rPr>
        <sz val="11"/>
        <color rgb="FF000000"/>
        <rFont val="맑은 고딕"/>
        <family val="2"/>
        <charset val="1"/>
      </rPr>
      <t xml:space="preserve">,</t>
    </r>
    <r>
      <rPr>
        <sz val="11"/>
        <color rgb="FF000000"/>
        <rFont val="WenQuanYi Zen Hei"/>
        <family val="2"/>
      </rPr>
      <t xml:space="preserve">전자제품</t>
    </r>
  </si>
  <si>
    <r>
      <rPr>
        <sz val="11"/>
        <color rgb="FF000000"/>
        <rFont val="WenQuanYi Zen Hei"/>
        <family val="2"/>
      </rPr>
      <t xml:space="preserve">마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수송장비</t>
    </r>
  </si>
  <si>
    <r>
      <rPr>
        <sz val="11"/>
        <color rgb="FF000000"/>
        <rFont val="WenQuanYi Zen Hei"/>
        <family val="2"/>
      </rPr>
      <t xml:space="preserve">바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기타</t>
    </r>
  </si>
  <si>
    <r>
      <rPr>
        <b val="true"/>
        <sz val="18"/>
        <rFont val="WenQuanYi Zen Hei"/>
        <family val="2"/>
      </rPr>
      <t xml:space="preserve">수출입 실적</t>
    </r>
    <r>
      <rPr>
        <b val="true"/>
        <sz val="18"/>
        <rFont val="Calibri"/>
        <family val="2"/>
        <charset val="1"/>
      </rPr>
      <t xml:space="preserve">(</t>
    </r>
    <r>
      <rPr>
        <b val="true"/>
        <sz val="18"/>
        <rFont val="WenQuanYi Zen Hei"/>
        <family val="2"/>
      </rPr>
      <t xml:space="preserve">신성질별</t>
    </r>
    <r>
      <rPr>
        <b val="true"/>
        <sz val="18"/>
        <rFont val="Calibri"/>
        <family val="2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</si>
  <si>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검색조건통계항목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신성질별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신성질명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전체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세부성질 유무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무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조회기간 </t>
    </r>
    <r>
      <rPr>
        <sz val="11"/>
        <color rgb="FF000000"/>
        <rFont val="맑은 고딕"/>
        <family val="2"/>
        <charset val="1"/>
      </rPr>
      <t xml:space="preserve">: 202601 ~ 202607 , </t>
    </r>
    <r>
      <rPr>
        <sz val="11"/>
        <color rgb="FF000000"/>
        <rFont val="WenQuanYi Zen Hei"/>
        <family val="2"/>
      </rPr>
      <t xml:space="preserve">통계기준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수리일</t>
    </r>
    <r>
      <rPr>
        <sz val="11"/>
        <color rgb="FF000000"/>
        <rFont val="맑은 고딕"/>
        <family val="2"/>
        <charset val="1"/>
      </rPr>
      <t xml:space="preserve">, </t>
    </r>
    <r>
      <rPr>
        <sz val="11"/>
        <color rgb="FF000000"/>
        <rFont val="WenQuanYi Zen Hei"/>
        <family val="2"/>
      </rPr>
      <t xml:space="preserve">중량단위 </t>
    </r>
    <r>
      <rPr>
        <sz val="11"/>
        <color rgb="FF000000"/>
        <rFont val="맑은 고딕"/>
        <family val="2"/>
        <charset val="1"/>
      </rPr>
      <t xml:space="preserve">: </t>
    </r>
    <r>
      <rPr>
        <sz val="11"/>
        <color rgb="FF000000"/>
        <rFont val="WenQuanYi Zen Hei"/>
        <family val="2"/>
      </rPr>
      <t xml:space="preserve">톤</t>
    </r>
  </si>
  <si>
    <t xml:space="preserve">신성질명</t>
  </si>
  <si>
    <r>
      <rPr>
        <sz val="11"/>
        <color rgb="FF000000"/>
        <rFont val="맑은 고딕"/>
        <family val="2"/>
        <charset val="1"/>
      </rPr>
      <t xml:space="preserve">1.</t>
    </r>
    <r>
      <rPr>
        <sz val="11"/>
        <color rgb="FF000000"/>
        <rFont val="WenQuanYi Zen Hei"/>
        <family val="2"/>
      </rPr>
      <t xml:space="preserve">소비재</t>
    </r>
  </si>
  <si>
    <r>
      <rPr>
        <sz val="11"/>
        <color rgb="FF000000"/>
        <rFont val="WenQuanYi Zen Hei"/>
        <family val="2"/>
      </rPr>
      <t xml:space="preserve">가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직접소비재</t>
    </r>
  </si>
  <si>
    <r>
      <rPr>
        <sz val="11"/>
        <color rgb="FF000000"/>
        <rFont val="WenQuanYi Zen Hei"/>
        <family val="2"/>
      </rPr>
      <t xml:space="preserve">나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내구소비재</t>
    </r>
  </si>
  <si>
    <r>
      <rPr>
        <sz val="11"/>
        <color rgb="FF000000"/>
        <rFont val="WenQuanYi Zen Hei"/>
        <family val="2"/>
      </rPr>
      <t xml:space="preserve">다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비내구소비재</t>
    </r>
  </si>
  <si>
    <r>
      <rPr>
        <sz val="11"/>
        <color rgb="FF000000"/>
        <rFont val="WenQuanYi Zen Hei"/>
        <family val="2"/>
      </rPr>
      <t xml:space="preserve">라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간이세율적용분</t>
    </r>
  </si>
  <si>
    <r>
      <rPr>
        <sz val="11"/>
        <color rgb="FF000000"/>
        <rFont val="맑은 고딕"/>
        <family val="2"/>
        <charset val="1"/>
      </rPr>
      <t xml:space="preserve">2.</t>
    </r>
    <r>
      <rPr>
        <sz val="11"/>
        <color rgb="FF000000"/>
        <rFont val="WenQuanYi Zen Hei"/>
        <family val="2"/>
      </rPr>
      <t xml:space="preserve">원자재</t>
    </r>
  </si>
  <si>
    <r>
      <rPr>
        <sz val="11"/>
        <color rgb="FF000000"/>
        <rFont val="WenQuanYi Zen Hei"/>
        <family val="2"/>
      </rPr>
      <t xml:space="preserve">가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동식물성 연</t>
    </r>
    <r>
      <rPr>
        <sz val="11"/>
        <color rgb="FF000000"/>
        <rFont val="맑은 고딕"/>
        <family val="2"/>
        <charset val="1"/>
      </rPr>
      <t xml:space="preserve">·</t>
    </r>
    <r>
      <rPr>
        <sz val="11"/>
        <color rgb="FF000000"/>
        <rFont val="WenQuanYi Zen Hei"/>
        <family val="2"/>
      </rPr>
      <t xml:space="preserve">원료</t>
    </r>
  </si>
  <si>
    <r>
      <rPr>
        <sz val="11"/>
        <color rgb="FF000000"/>
        <rFont val="WenQuanYi Zen Hei"/>
        <family val="2"/>
      </rPr>
      <t xml:space="preserve">나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섬유류</t>
    </r>
  </si>
  <si>
    <r>
      <rPr>
        <sz val="11"/>
        <color rgb="FF000000"/>
        <rFont val="WenQuanYi Zen Hei"/>
        <family val="2"/>
      </rPr>
      <t xml:space="preserve">다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광산물</t>
    </r>
  </si>
  <si>
    <r>
      <rPr>
        <sz val="11"/>
        <color rgb="FF000000"/>
        <rFont val="WenQuanYi Zen Hei"/>
        <family val="2"/>
      </rPr>
      <t xml:space="preserve">라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철강 및 금속제품</t>
    </r>
  </si>
  <si>
    <r>
      <rPr>
        <sz val="11"/>
        <color rgb="FF000000"/>
        <rFont val="WenQuanYi Zen Hei"/>
        <family val="2"/>
      </rPr>
      <t xml:space="preserve">마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화학공업제품</t>
    </r>
  </si>
  <si>
    <r>
      <rPr>
        <sz val="11"/>
        <color rgb="FF000000"/>
        <rFont val="WenQuanYi Zen Hei"/>
        <family val="2"/>
      </rPr>
      <t xml:space="preserve">바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기타 원자재</t>
    </r>
  </si>
  <si>
    <r>
      <rPr>
        <sz val="11"/>
        <color rgb="FF000000"/>
        <rFont val="맑은 고딕"/>
        <family val="2"/>
        <charset val="1"/>
      </rPr>
      <t xml:space="preserve">3.</t>
    </r>
    <r>
      <rPr>
        <sz val="11"/>
        <color rgb="FF000000"/>
        <rFont val="WenQuanYi Zen Hei"/>
        <family val="2"/>
      </rPr>
      <t xml:space="preserve">자본재</t>
    </r>
  </si>
  <si>
    <r>
      <rPr>
        <sz val="11"/>
        <color rgb="FF000000"/>
        <rFont val="WenQuanYi Zen Hei"/>
        <family val="2"/>
      </rPr>
      <t xml:space="preserve">가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수송장비</t>
    </r>
  </si>
  <si>
    <r>
      <rPr>
        <sz val="11"/>
        <color rgb="FF000000"/>
        <rFont val="WenQuanYi Zen Hei"/>
        <family val="2"/>
      </rPr>
      <t xml:space="preserve">나</t>
    </r>
    <r>
      <rPr>
        <sz val="11"/>
        <color rgb="FF000000"/>
        <rFont val="맑은 고딕"/>
        <family val="2"/>
        <charset val="1"/>
      </rPr>
      <t xml:space="preserve">.</t>
    </r>
    <r>
      <rPr>
        <sz val="11"/>
        <color rgb="FF000000"/>
        <rFont val="WenQuanYi Zen Hei"/>
        <family val="2"/>
      </rPr>
      <t xml:space="preserve">기계류</t>
    </r>
  </si>
  <si>
    <r>
      <rPr>
        <sz val="11"/>
        <color rgb="FF000000"/>
        <rFont val="WenQuanYi Zen Hei"/>
        <family val="2"/>
      </rPr>
      <t xml:space="preserve">다</t>
    </r>
    <r>
      <rPr>
        <sz val="11"/>
        <color rgb="FF000000"/>
        <rFont val="맑은 고딕"/>
        <family val="2"/>
        <charset val="1"/>
      </rPr>
      <t xml:space="preserve">.IT</t>
    </r>
    <r>
      <rPr>
        <sz val="11"/>
        <color rgb="FF000000"/>
        <rFont val="WenQuanYi Zen Hei"/>
        <family val="2"/>
      </rPr>
      <t xml:space="preserve">제품</t>
    </r>
  </si>
  <si>
    <r>
      <rPr>
        <sz val="11"/>
        <color rgb="FF000000"/>
        <rFont val="WenQuanYi Zen Hei"/>
        <family val="2"/>
      </rPr>
      <t xml:space="preserve">라</t>
    </r>
    <r>
      <rPr>
        <sz val="11"/>
        <color rgb="FF000000"/>
        <rFont val="맑은 고딕"/>
        <family val="2"/>
        <charset val="1"/>
      </rPr>
      <t xml:space="preserve">.IT</t>
    </r>
    <r>
      <rPr>
        <sz val="11"/>
        <color rgb="FF000000"/>
        <rFont val="WenQuanYi Zen Hei"/>
        <family val="2"/>
      </rPr>
      <t xml:space="preserve">부품</t>
    </r>
  </si>
  <si>
    <r>
      <rPr>
        <b val="true"/>
        <sz val="14"/>
        <color rgb="FF1F3864"/>
        <rFont val="WenQuanYi Zen Hei"/>
        <family val="2"/>
      </rPr>
      <t xml:space="preserve">① 합계 정합성 검증 — 개별항목의 합 </t>
    </r>
    <r>
      <rPr>
        <b val="true"/>
        <sz val="14"/>
        <color rgb="FF1F3864"/>
        <rFont val="맑은 고딕"/>
        <family val="0"/>
        <charset val="1"/>
      </rPr>
      <t xml:space="preserve">vs </t>
    </r>
    <r>
      <rPr>
        <b val="true"/>
        <sz val="14"/>
        <color rgb="FF1F3864"/>
        <rFont val="WenQuanYi Zen Hei"/>
        <family val="2"/>
      </rPr>
      <t xml:space="preserve">총합</t>
    </r>
  </si>
  <si>
    <r>
      <rPr>
        <i val="true"/>
        <sz val="9"/>
        <color rgb="FF595959"/>
        <rFont val="WenQuanYi Zen Hei"/>
        <family val="2"/>
      </rPr>
      <t xml:space="preserve">원본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개 시트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수출입 총괄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성질별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WenQuanYi Zen Hei"/>
        <family val="2"/>
      </rPr>
      <t xml:space="preserve">신성질별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의 모든 값을 수식으로 직접 참조하여 검증합니다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시트는 수정하지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</si>
  <si>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허용오차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원본이 소수 첫째자리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중량</t>
    </r>
    <r>
      <rPr>
        <i val="true"/>
        <sz val="9"/>
        <color rgb="FF595959"/>
        <rFont val="맑은 고딕"/>
        <family val="0"/>
        <charset val="1"/>
      </rPr>
      <t xml:space="preserve">)·</t>
    </r>
    <r>
      <rPr>
        <i val="true"/>
        <sz val="9"/>
        <color rgb="FF595959"/>
        <rFont val="WenQuanYi Zen Hei"/>
        <family val="2"/>
      </rPr>
      <t xml:space="preserve">정수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로 반올림되어 제공되므로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아래 허용오차 이내의 차이는 반올림 오차로 판정합니다</t>
    </r>
    <r>
      <rPr>
        <i val="true"/>
        <sz val="9"/>
        <color rgb="FF595959"/>
        <rFont val="맑은 고딕"/>
        <family val="0"/>
        <charset val="1"/>
      </rPr>
      <t xml:space="preserve">. (</t>
    </r>
    <r>
      <rPr>
        <i val="true"/>
        <sz val="9"/>
        <color rgb="FF595959"/>
        <rFont val="WenQuanYi Zen Hei"/>
        <family val="2"/>
      </rPr>
      <t xml:space="preserve">노란색 셀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사용자 입력값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</si>
  <si>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중량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</si>
  <si>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허용오차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, </t>
    </r>
    <r>
      <rPr>
        <b val="true"/>
        <sz val="10"/>
        <color rgb="FF000000"/>
        <rFont val="WenQuanYi Zen Hei"/>
        <family val="2"/>
      </rPr>
      <t xml:space="preserve">천달러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</si>
  <si>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1] </t>
    </r>
    <r>
      <rPr>
        <b val="true"/>
        <sz val="11"/>
        <color rgb="FF1F3864"/>
        <rFont val="WenQuanYi Zen Hei"/>
        <family val="2"/>
      </rPr>
      <t xml:space="preserve">「수출입 총괄」 총계행 </t>
    </r>
    <r>
      <rPr>
        <b val="true"/>
        <sz val="11"/>
        <color rgb="FF1F3864"/>
        <rFont val="맑은 고딕"/>
        <family val="0"/>
        <charset val="1"/>
      </rPr>
      <t xml:space="preserve">vs 2026.01~07 </t>
    </r>
    <r>
      <rPr>
        <b val="true"/>
        <sz val="11"/>
        <color rgb="FF1F3864"/>
        <rFont val="WenQuanYi Zen Hei"/>
        <family val="2"/>
      </rPr>
      <t xml:space="preserve">월별 합계</t>
    </r>
  </si>
  <si>
    <t xml:space="preserve">항목</t>
  </si>
  <si>
    <r>
      <rPr>
        <b val="true"/>
        <sz val="10"/>
        <color rgb="FFFFFFFF"/>
        <rFont val="WenQuanYi Zen Hei"/>
        <family val="2"/>
      </rPr>
      <t xml:space="preserve">총계행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</si>
  <si>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월별 합계</t>
  </si>
  <si>
    <t xml:space="preserve">차이</t>
  </si>
  <si>
    <t xml:space="preserve">판정</t>
  </si>
  <si>
    <r>
      <rPr>
        <b val="true"/>
        <sz val="10"/>
        <color rgb="FF000000"/>
        <rFont val="WenQuanYi Zen Hei"/>
        <family val="2"/>
      </rPr>
      <t xml:space="preserve">수출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</si>
  <si>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</si>
  <si>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수입 중량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</si>
  <si>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수입 금액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</si>
  <si>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WenQuanYi Zen Hei"/>
        <family val="2"/>
      </rPr>
      <t xml:space="preserve">무역수지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</si>
  <si>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2] </t>
    </r>
    <r>
      <rPr>
        <b val="true"/>
        <sz val="11"/>
        <color rgb="FF1F3864"/>
        <rFont val="WenQuanYi Zen Hei"/>
        <family val="2"/>
      </rPr>
      <t xml:space="preserve">무역수지 항등식 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수출금액 − 수입금액 </t>
    </r>
    <r>
      <rPr>
        <b val="true"/>
        <sz val="11"/>
        <color rgb="FF1F3864"/>
        <rFont val="맑은 고딕"/>
        <family val="0"/>
        <charset val="1"/>
      </rPr>
      <t xml:space="preserve">= </t>
    </r>
    <r>
      <rPr>
        <b val="true"/>
        <sz val="11"/>
        <color rgb="FF1F3864"/>
        <rFont val="WenQuanYi Zen Hei"/>
        <family val="2"/>
      </rPr>
      <t xml:space="preserve">무역수지</t>
    </r>
  </si>
  <si>
    <t xml:space="preserve">수출금액</t>
  </si>
  <si>
    <r>
      <rPr>
        <b val="true"/>
        <sz val="10"/>
        <color rgb="FFFFFFFF"/>
        <rFont val="WenQuanYi Zen Hei"/>
        <family val="2"/>
      </rPr>
      <t xml:space="preserve">계산값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수출−수입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</si>
  <si>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원본 무역수지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</si>
  <si>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3] </t>
    </r>
    <r>
      <rPr>
        <b val="true"/>
        <sz val="11"/>
        <color rgb="FF1F3864"/>
        <rFont val="WenQuanYi Zen Hei"/>
        <family val="2"/>
      </rPr>
      <t xml:space="preserve">「성질별」 대분류 </t>
    </r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개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수출 실적</t>
    </r>
  </si>
  <si>
    <t xml:space="preserve">성질별 금액 합</t>
  </si>
  <si>
    <t xml:space="preserve">총괄 수출금액</t>
  </si>
  <si>
    <t xml:space="preserve">성질별 중량 합</t>
  </si>
  <si>
    <t xml:space="preserve">총괄 수출중량</t>
  </si>
  <si>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개월 누계</t>
    </r>
  </si>
  <si>
    <r>
      <rPr>
        <i val="true"/>
        <sz val="9"/>
        <color rgb="FF595959"/>
        <rFont val="맑은 고딕"/>
        <family val="0"/>
        <charset val="1"/>
      </rPr>
      <t xml:space="preserve">C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맑은 고딕"/>
        <family val="0"/>
        <charset val="1"/>
      </rPr>
      <t xml:space="preserve">·G</t>
    </r>
    <r>
      <rPr>
        <i val="true"/>
        <sz val="9"/>
        <color rgb="FF595959"/>
        <rFont val="WenQuanYi Zen Hei"/>
        <family val="2"/>
      </rPr>
      <t xml:space="preserve">열의 총계 비교값은 「성질별」 시트 </t>
    </r>
    <r>
      <rPr>
        <i val="true"/>
        <sz val="9"/>
        <color rgb="FF595959"/>
        <rFont val="맑은 고딕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행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총계행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즉 대분류 </t>
    </r>
    <r>
      <rPr>
        <i val="true"/>
        <sz val="9"/>
        <color rgb="FF595959"/>
        <rFont val="맑은 고딕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개 </t>
    </r>
    <r>
      <rPr>
        <i val="true"/>
        <sz val="9"/>
        <color rgb="FF595959"/>
        <rFont val="맑은 고딕"/>
        <family val="0"/>
        <charset val="1"/>
      </rPr>
      <t xml:space="preserve">× 7</t>
    </r>
    <r>
      <rPr>
        <i val="true"/>
        <sz val="9"/>
        <color rgb="FF595959"/>
        <rFont val="WenQuanYi Zen Hei"/>
        <family val="2"/>
      </rPr>
      <t xml:space="preserve">개월의 합이 시트 자체 총계와 일치하는지를 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</si>
  <si>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4] </t>
    </r>
    <r>
      <rPr>
        <b val="true"/>
        <sz val="11"/>
        <color rgb="FF1F3864"/>
        <rFont val="WenQuanYi Zen Hei"/>
        <family val="2"/>
      </rPr>
      <t xml:space="preserve">「성질별」 중분류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대분류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경공업품 </t>
    </r>
    <r>
      <rPr>
        <b val="true"/>
        <sz val="11"/>
        <color rgb="FF1F3864"/>
        <rFont val="맑은 고딕"/>
        <family val="0"/>
        <charset val="1"/>
      </rPr>
      <t xml:space="preserve">/ </t>
    </r>
    <r>
      <rPr>
        <b val="true"/>
        <sz val="11"/>
        <color rgb="FF1F3864"/>
        <rFont val="WenQuanYi Zen Hei"/>
        <family val="2"/>
      </rPr>
      <t xml:space="preserve">중화학공업품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</si>
  <si>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3.</t>
    </r>
    <r>
      <rPr>
        <b val="true"/>
        <sz val="10"/>
        <color rgb="FFFFFFFF"/>
        <rFont val="WenQuanYi Zen Hei"/>
        <family val="2"/>
      </rPr>
      <t xml:space="preserve">경공업품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</si>
  <si>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중분류 가</t>
    </r>
    <r>
      <rPr>
        <b val="true"/>
        <sz val="10"/>
        <color rgb="FFFFFFFF"/>
        <rFont val="맑은 고딕"/>
        <family val="0"/>
        <charset val="1"/>
      </rPr>
      <t xml:space="preserve">~</t>
    </r>
    <r>
      <rPr>
        <b val="true"/>
        <sz val="10"/>
        <color rgb="FFFFFFFF"/>
        <rFont val="WenQuanYi Zen Hei"/>
        <family val="2"/>
      </rPr>
      <t xml:space="preserve">카 합</t>
    </r>
  </si>
  <si>
    <r>
      <rPr>
        <b val="true"/>
        <sz val="10"/>
        <color rgb="FFFFFFFF"/>
        <rFont val="맑은 고딕"/>
        <family val="0"/>
        <charset val="1"/>
      </rPr>
      <t xml:space="preserve">4.</t>
    </r>
    <r>
      <rPr>
        <b val="true"/>
        <sz val="10"/>
        <color rgb="FFFFFFFF"/>
        <rFont val="WenQuanYi Zen Hei"/>
        <family val="2"/>
      </rPr>
      <t xml:space="preserve">중화학공업품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</si>
  <si>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중분류 가</t>
    </r>
    <r>
      <rPr>
        <b val="true"/>
        <sz val="10"/>
        <color rgb="FFFFFFFF"/>
        <rFont val="맑은 고딕"/>
        <family val="0"/>
        <charset val="1"/>
      </rPr>
      <t xml:space="preserve">~</t>
    </r>
    <r>
      <rPr>
        <b val="true"/>
        <sz val="10"/>
        <color rgb="FFFFFFFF"/>
        <rFont val="WenQuanYi Zen Hei"/>
        <family val="2"/>
      </rPr>
      <t xml:space="preserve">바 합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</si>
  <si>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5] </t>
    </r>
    <r>
      <rPr>
        <b val="true"/>
        <sz val="11"/>
        <color rgb="FF1F3864"/>
        <rFont val="WenQuanYi Zen Hei"/>
        <family val="2"/>
      </rPr>
      <t xml:space="preserve">「신성질별」 대분류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개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「총괄」 수출 실적</t>
    </r>
  </si>
  <si>
    <t xml:space="preserve">신성질별 금액 합</t>
  </si>
  <si>
    <t xml:space="preserve">신성질별 중량 합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</si>
  <si>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6] </t>
    </r>
    <r>
      <rPr>
        <b val="true"/>
        <sz val="11"/>
        <color rgb="FF1F3864"/>
        <rFont val="WenQuanYi Zen Hei"/>
        <family val="2"/>
      </rPr>
      <t xml:space="preserve">「신성질별」 중분류 합 </t>
    </r>
    <r>
      <rPr>
        <b val="true"/>
        <sz val="11"/>
        <color rgb="FF1F3864"/>
        <rFont val="맑은 고딕"/>
        <family val="0"/>
        <charset val="1"/>
      </rPr>
      <t xml:space="preserve">vs </t>
    </r>
    <r>
      <rPr>
        <b val="true"/>
        <sz val="11"/>
        <color rgb="FF1F3864"/>
        <rFont val="WenQuanYi Zen Hei"/>
        <family val="2"/>
      </rPr>
      <t xml:space="preserve">대분류</t>
    </r>
  </si>
  <si>
    <r>
      <rPr>
        <b val="true"/>
        <sz val="10"/>
        <color rgb="FFFFFFFF"/>
        <rFont val="맑은 고딕"/>
        <family val="0"/>
        <charset val="1"/>
      </rPr>
      <t xml:space="preserve">1.</t>
    </r>
    <r>
      <rPr>
        <b val="true"/>
        <sz val="10"/>
        <color rgb="FFFFFFFF"/>
        <rFont val="WenQuanYi Zen Hei"/>
        <family val="2"/>
      </rPr>
      <t xml:space="preserve">소비재 차이</t>
    </r>
  </si>
  <si>
    <r>
      <rPr>
        <b val="true"/>
        <sz val="10"/>
        <color rgb="FFFFFFFF"/>
        <rFont val="맑은 고딕"/>
        <family val="0"/>
        <charset val="1"/>
      </rPr>
      <t xml:space="preserve">2.</t>
    </r>
    <r>
      <rPr>
        <b val="true"/>
        <sz val="10"/>
        <color rgb="FFFFFFFF"/>
        <rFont val="WenQuanYi Zen Hei"/>
        <family val="2"/>
      </rPr>
      <t xml:space="preserve">원자재 차이</t>
    </r>
  </si>
  <si>
    <r>
      <rPr>
        <b val="true"/>
        <sz val="10"/>
        <color rgb="FFFFFFFF"/>
        <rFont val="맑은 고딕"/>
        <family val="0"/>
        <charset val="1"/>
      </rPr>
      <t xml:space="preserve">3.</t>
    </r>
    <r>
      <rPr>
        <b val="true"/>
        <sz val="10"/>
        <color rgb="FFFFFFFF"/>
        <rFont val="WenQuanYi Zen Hei"/>
        <family val="2"/>
      </rPr>
      <t xml:space="preserve">자본재 차이</t>
    </r>
  </si>
  <si>
    <r>
      <rPr>
        <b val="true"/>
        <sz val="10"/>
        <color rgb="FFFFFFFF"/>
        <rFont val="WenQuanYi Zen Hei"/>
        <family val="2"/>
      </rPr>
      <t xml:space="preserve">판정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금액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</si>
  <si>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검증 </t>
    </r>
    <r>
      <rPr>
        <b val="true"/>
        <sz val="11"/>
        <color rgb="FF1F3864"/>
        <rFont val="맑은 고딕"/>
        <family val="0"/>
        <charset val="1"/>
      </rPr>
      <t xml:space="preserve">7] </t>
    </r>
    <r>
      <rPr>
        <b val="true"/>
        <sz val="11"/>
        <color rgb="FF1F3864"/>
        <rFont val="WenQuanYi Zen Hei"/>
        <family val="2"/>
      </rPr>
      <t xml:space="preserve">시트 간 교차검증 — 동일한 수출 실적을 </t>
    </r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개 시트가 같은 값으로 말하는가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</si>
  <si>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</si>
  <si>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수출 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</si>
  <si>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r>
      <rPr>
        <b val="true"/>
        <sz val="10"/>
        <color rgb="FFFFFFFF"/>
        <rFont val="WenQuanYi Zen Hei"/>
        <family val="2"/>
      </rPr>
      <t xml:space="preserve">수출 중량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</si>
  <si>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수출입 총괄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총계행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</si>
  <si>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성질별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총계행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</si>
  <si>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신성질별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총계행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</si>
  <si>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최대 편차</t>
  </si>
  <si>
    <t xml:space="preserve">검증 총평</t>
  </si>
  <si>
    <r>
      <rPr>
        <i val="true"/>
        <sz val="9"/>
        <color rgb="FF595959"/>
        <rFont val="WenQuanYi Zen Hei"/>
        <family val="2"/>
      </rPr>
      <t xml:space="preserve">주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원본 데이터는 소수점 반올림 상태로 제공되므로 개별 항목 합계와 총계 간에 </t>
    </r>
    <r>
      <rPr>
        <i val="true"/>
        <sz val="9"/>
        <color rgb="FF595959"/>
        <rFont val="맑은 고딕"/>
        <family val="0"/>
        <charset val="1"/>
      </rPr>
      <t xml:space="preserve">±</t>
    </r>
    <r>
      <rPr>
        <i val="true"/>
        <sz val="9"/>
        <color rgb="FF595959"/>
        <rFont val="WenQuanYi Zen Hei"/>
        <family val="2"/>
      </rPr>
      <t xml:space="preserve">수 단위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천달러</t>
    </r>
    <r>
      <rPr>
        <i val="true"/>
        <sz val="9"/>
        <color rgb="FF595959"/>
        <rFont val="맑은 고딕"/>
        <family val="0"/>
        <charset val="1"/>
      </rPr>
      <t xml:space="preserve">) / ±0.x</t>
    </r>
    <r>
      <rPr>
        <i val="true"/>
        <sz val="9"/>
        <color rgb="FF595959"/>
        <rFont val="WenQuanYi Zen Hei"/>
        <family val="2"/>
      </rPr>
      <t xml:space="preserve">톤의 차이가 발생할 수 있습니다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이는 데이터 오류가 아니라 반올림 누적 오차입니다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</si>
  <si>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② 월별 추이 — 총괄 지표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조업일수 보정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단가</t>
    </r>
  </si>
  <si>
    <r>
      <rPr>
        <i val="true"/>
        <sz val="9"/>
        <color rgb="FF595959"/>
        <rFont val="WenQuanYi Zen Hei"/>
        <family val="2"/>
      </rPr>
      <t xml:space="preserve">「수출입 총괄」 시트를 수식으로 참조합니다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단가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천달러</t>
    </r>
    <r>
      <rPr>
        <i val="true"/>
        <sz val="9"/>
        <color rgb="FF595959"/>
        <rFont val="맑은 고딕"/>
        <family val="0"/>
        <charset val="1"/>
      </rPr>
      <t xml:space="preserve">) ÷ </t>
    </r>
    <r>
      <rPr>
        <i val="true"/>
        <sz val="9"/>
        <color rgb="FF595959"/>
        <rFont val="WenQuanYi Zen Hei"/>
        <family val="2"/>
      </rPr>
      <t xml:space="preserve">중량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톤</t>
    </r>
    <r>
      <rPr>
        <i val="true"/>
        <sz val="9"/>
        <color rgb="FF595959"/>
        <rFont val="맑은 고딕"/>
        <family val="0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일평균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금액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조업일수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월별 영업일 차이 보정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</si>
  <si>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i val="true"/>
        <sz val="9"/>
        <color rgb="FF595959"/>
        <rFont val="WenQuanYi Zen Hei"/>
        <family val="2"/>
      </rPr>
      <t xml:space="preserve">순상품교역조건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수출단가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수입단가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값이 높을수록 같은 물량을 팔아 더 많은 수입 물량을 살 수 있음을 뜻합니다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</si>
  <si>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수입 금액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</si>
  <si>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r>
      <rPr>
        <b val="true"/>
        <sz val="10"/>
        <color rgb="FFFFFFFF"/>
        <rFont val="WenQuanYi Zen Hei"/>
        <family val="2"/>
      </rPr>
      <t xml:space="preserve">무역수지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</si>
  <si>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t xml:space="preserve">수출 전월비</t>
  </si>
  <si>
    <t xml:space="preserve">수입 전월비</t>
  </si>
  <si>
    <r>
      <rPr>
        <b val="true"/>
        <sz val="10"/>
        <color rgb="FFFFFFFF"/>
        <rFont val="WenQuanYi Zen Hei"/>
        <family val="2"/>
      </rPr>
      <t xml:space="preserve">수지 전월증감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</si>
  <si>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r>
      <rPr>
        <b val="true"/>
        <sz val="10"/>
        <color rgb="FFFFFFFF"/>
        <rFont val="WenQuanYi Zen Hei"/>
        <family val="2"/>
      </rPr>
      <t xml:space="preserve">일평균 수출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</si>
  <si>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t xml:space="preserve">일평균 수출 전월비</t>
  </si>
  <si>
    <r>
      <rPr>
        <b val="true"/>
        <sz val="10"/>
        <color rgb="FFFFFFFF"/>
        <rFont val="WenQuanYi Zen Hei"/>
        <family val="2"/>
      </rPr>
      <t xml:space="preserve">수출단가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$/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</si>
  <si>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수입단가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$/</t>
    </r>
    <r>
      <rPr>
        <b val="true"/>
        <sz val="10"/>
        <color rgb="FFFFFFFF"/>
        <rFont val="WenQuanYi Zen Hei"/>
        <family val="2"/>
      </rPr>
      <t xml:space="preserve">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</si>
  <si>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순상품교역조건</t>
  </si>
  <si>
    <r>
      <rPr>
        <b val="true"/>
        <sz val="10"/>
        <color rgb="FFFFFFFF"/>
        <rFont val="WenQuanYi Zen Hei"/>
        <family val="2"/>
      </rPr>
      <t xml:space="preserve">누적 수출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</si>
  <si>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r>
      <rPr>
        <b val="true"/>
        <sz val="10"/>
        <color rgb="FFFFFFFF"/>
        <rFont val="WenQuanYi Zen Hei"/>
        <family val="2"/>
      </rPr>
      <t xml:space="preserve">누적 수지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천</t>
    </r>
    <r>
      <rPr>
        <b val="true"/>
        <sz val="10"/>
        <color rgb="FFFFFFFF"/>
        <rFont val="맑은 고딕"/>
        <family val="0"/>
        <charset val="1"/>
      </rPr>
      <t xml:space="preserve">$)</t>
    </r>
  </si>
  <si>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개월 누계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평균</t>
    </r>
  </si>
  <si>
    <r>
      <rPr>
        <i val="true"/>
        <sz val="9"/>
        <color rgb="FF595959"/>
        <rFont val="WenQuanYi Zen Hei"/>
        <family val="2"/>
      </rPr>
      <t xml:space="preserve">누계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평균 행의 전월비</t>
    </r>
    <r>
      <rPr>
        <i val="true"/>
        <sz val="9"/>
        <color rgb="FF595959"/>
        <rFont val="맑은 고딕"/>
        <family val="0"/>
        <charset val="1"/>
      </rPr>
      <t xml:space="preserve">(H·I·L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월 대비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 증감률</t>
    </r>
    <r>
      <rPr>
        <i val="true"/>
        <sz val="9"/>
        <color rgb="FF595959"/>
        <rFont val="맑은 고딕"/>
        <family val="0"/>
        <charset val="1"/>
      </rPr>
      <t xml:space="preserve">(=</t>
    </r>
    <r>
      <rPr>
        <i val="true"/>
        <sz val="9"/>
        <color rgb="FF595959"/>
        <rFont val="WenQuanYi Zen Hei"/>
        <family val="2"/>
      </rPr>
      <t xml:space="preserve">기간 전체 변화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</si>
  <si>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③ 품목별 증감 분석 — 전월비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기간내 증감 </t>
    </r>
    <r>
      <rPr>
        <b val="true"/>
        <sz val="14"/>
        <color rgb="FF1F3864"/>
        <rFont val="맑은 고딕"/>
        <family val="0"/>
        <charset val="1"/>
      </rPr>
      <t xml:space="preserve">· </t>
    </r>
    <r>
      <rPr>
        <b val="true"/>
        <sz val="14"/>
        <color rgb="FF1F3864"/>
        <rFont val="WenQuanYi Zen Hei"/>
        <family val="2"/>
      </rPr>
      <t xml:space="preserve">기여도</t>
    </r>
  </si>
  <si>
    <r>
      <rPr>
        <i val="true"/>
        <sz val="9"/>
        <color rgb="FF595959"/>
        <rFont val="WenQuanYi Zen Hei"/>
        <family val="2"/>
      </rPr>
      <t xml:space="preserve">모든 수치는 수출 금액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천달러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기준이며 원본 시트를 수식으로 참조합니다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기여도 </t>
    </r>
    <r>
      <rPr>
        <i val="true"/>
        <sz val="9"/>
        <color rgb="FF595959"/>
        <rFont val="맑은 고딕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 품목의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월→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 증감액 </t>
    </r>
    <r>
      <rPr>
        <i val="true"/>
        <sz val="9"/>
        <color rgb="FF595959"/>
        <rFont val="맑은 고딕"/>
        <family val="0"/>
        <charset val="1"/>
      </rPr>
      <t xml:space="preserve">÷ </t>
    </r>
    <r>
      <rPr>
        <i val="true"/>
        <sz val="9"/>
        <color rgb="FF595959"/>
        <rFont val="WenQuanYi Zen Hei"/>
        <family val="2"/>
      </rPr>
      <t xml:space="preserve">전체 수출의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월→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월 증감액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</si>
  <si>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맑은 고딕"/>
        <family val="0"/>
        <charset val="1"/>
      </rPr>
      <t xml:space="preserve">"</t>
    </r>
    <r>
      <rPr>
        <i val="true"/>
        <sz val="9"/>
        <color rgb="FF595959"/>
        <rFont val="WenQuanYi Zen Hei"/>
        <family val="2"/>
      </rPr>
      <t xml:space="preserve">최대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최소 월증감률</t>
    </r>
    <r>
      <rPr>
        <i val="true"/>
        <sz val="9"/>
        <color rgb="FF595959"/>
        <rFont val="맑은 고딕"/>
        <family val="0"/>
        <charset val="1"/>
      </rPr>
      <t xml:space="preserve">"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맑은 고딕"/>
        <family val="0"/>
        <charset val="1"/>
      </rPr>
      <t xml:space="preserve">2~7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맑은 고딕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개 구간의 전월비 중 최대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최소값으로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값이 클수록 월별 변동이 심한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불규칙한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품목입니다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</si>
  <si>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[A] </t>
    </r>
    <r>
      <rPr>
        <b val="true"/>
        <sz val="11"/>
        <color rgb="FF1F3864"/>
        <rFont val="WenQuanYi Zen Hei"/>
        <family val="2"/>
      </rPr>
      <t xml:space="preserve">성질별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 금액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</si>
  <si>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품목</t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</si>
  <si>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 전월비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</si>
  <si>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 전월증감액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</si>
  <si>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월→</t>
    </r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 증감률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</si>
  <si>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월→</t>
    </r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 증감액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</si>
  <si>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개월 누계</t>
    </r>
  </si>
  <si>
    <t xml:space="preserve">누계 비중</t>
  </si>
  <si>
    <t xml:space="preserve">기여도</t>
  </si>
  <si>
    <t xml:space="preserve">최대 월증감률</t>
  </si>
  <si>
    <t xml:space="preserve">최소 월증감률</t>
  </si>
  <si>
    <t xml:space="preserve">대분류</t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</si>
  <si>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식료및직접소비재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</si>
  <si>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원료및연료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</si>
  <si>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경공업품</t>
    </r>
  </si>
  <si>
    <t xml:space="preserve">중분류</t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</si>
  <si>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섬유원료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</si>
  <si>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섬유사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</si>
  <si>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직물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</si>
  <si>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기타섬유제품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</si>
  <si>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의류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</si>
  <si>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목제품</t>
    </r>
  </si>
  <si>
    <r>
      <rPr>
        <sz val="10"/>
        <color rgb="FF000000"/>
        <rFont val="WenQuanYi Zen Hei"/>
        <family val="2"/>
      </rPr>
      <t xml:space="preserve">사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가죽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WenQuanYi Zen Hei"/>
        <family val="2"/>
      </rPr>
      <t xml:space="preserve">고무및신발류</t>
    </r>
  </si>
  <si>
    <r>
      <rPr>
        <sz val="10"/>
        <color rgb="FF000000"/>
        <rFont val="WenQuanYi Zen Hei"/>
        <family val="2"/>
      </rPr>
      <t xml:space="preserve">아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귀금속및보석류</t>
    </r>
  </si>
  <si>
    <r>
      <rPr>
        <sz val="10"/>
        <color rgb="FF000000"/>
        <rFont val="WenQuanYi Zen Hei"/>
        <family val="2"/>
      </rPr>
      <t xml:space="preserve">자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기타비금속광물제품</t>
    </r>
  </si>
  <si>
    <r>
      <rPr>
        <sz val="10"/>
        <color rgb="FF000000"/>
        <rFont val="WenQuanYi Zen Hei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완구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WenQuanYi Zen Hei"/>
        <family val="2"/>
      </rPr>
      <t xml:space="preserve">운동용구및악기</t>
    </r>
  </si>
  <si>
    <r>
      <rPr>
        <sz val="10"/>
        <color rgb="FF000000"/>
        <rFont val="WenQuanYi Zen Hei"/>
        <family val="2"/>
      </rPr>
      <t xml:space="preserve">카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</t>
    </r>
  </si>
  <si>
    <r>
      <rPr>
        <b val="true"/>
        <sz val="10"/>
        <color rgb="FF000000"/>
        <rFont val="맑은 고딕"/>
        <family val="0"/>
        <charset val="1"/>
      </rPr>
      <t xml:space="preserve">4.</t>
    </r>
    <r>
      <rPr>
        <b val="true"/>
        <sz val="10"/>
        <color rgb="FF000000"/>
        <rFont val="WenQuanYi Zen Hei"/>
        <family val="2"/>
      </rPr>
      <t xml:space="preserve">중화학공업품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</si>
  <si>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화공품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</si>
  <si>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철강제품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</si>
  <si>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기계류와정밀기기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</si>
  <si>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전기</t>
    </r>
    <r>
      <rPr>
        <sz val="10"/>
        <color rgb="FF000000"/>
        <rFont val="맑은 고딕"/>
        <family val="0"/>
        <charset val="1"/>
      </rPr>
      <t xml:space="preserve">,</t>
    </r>
    <r>
      <rPr>
        <sz val="10"/>
        <color rgb="FF000000"/>
        <rFont val="WenQuanYi Zen Hei"/>
        <family val="2"/>
      </rPr>
      <t xml:space="preserve">전자제품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</si>
  <si>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</si>
  <si>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</t>
    </r>
  </si>
  <si>
    <r>
      <rPr>
        <b val="true"/>
        <sz val="10"/>
        <color rgb="FF000000"/>
        <rFont val="WenQuanYi Zen Hei"/>
        <family val="2"/>
      </rPr>
      <t xml:space="preserve">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대분류 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</si>
  <si>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1F3864"/>
        <rFont val="맑은 고딕"/>
        <family val="0"/>
        <charset val="1"/>
      </rPr>
      <t xml:space="preserve">[B] </t>
    </r>
    <r>
      <rPr>
        <b val="true"/>
        <sz val="11"/>
        <color rgb="FF1F3864"/>
        <rFont val="WenQuanYi Zen Hei"/>
        <family val="2"/>
      </rPr>
      <t xml:space="preserve">신성질별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수출 금액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</si>
  <si>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맑은 고딕"/>
        <family val="0"/>
        <charset val="1"/>
      </rPr>
      <t xml:space="preserve">1.</t>
    </r>
    <r>
      <rPr>
        <b val="true"/>
        <sz val="10"/>
        <color rgb="FF000000"/>
        <rFont val="WenQuanYi Zen Hei"/>
        <family val="2"/>
      </rPr>
      <t xml:space="preserve">소비재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</si>
  <si>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직접소비재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</si>
  <si>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내구소비재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</si>
  <si>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비내구소비재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</si>
  <si>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간이세율적용분</t>
    </r>
  </si>
  <si>
    <r>
      <rPr>
        <b val="true"/>
        <sz val="10"/>
        <color rgb="FF000000"/>
        <rFont val="맑은 고딕"/>
        <family val="0"/>
        <charset val="1"/>
      </rPr>
      <t xml:space="preserve">2.</t>
    </r>
    <r>
      <rPr>
        <b val="true"/>
        <sz val="10"/>
        <color rgb="FF000000"/>
        <rFont val="WenQuanYi Zen Hei"/>
        <family val="2"/>
      </rPr>
      <t xml:space="preserve">원자재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</si>
  <si>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동식물성 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원료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</si>
  <si>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섬유류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</si>
  <si>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광산물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</si>
  <si>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철강 및 금속제품</t>
    </r>
  </si>
  <si>
    <r>
      <rPr>
        <sz val="10"/>
        <color rgb="FF000000"/>
        <rFont val="WenQuanYi Zen Hei"/>
        <family val="2"/>
      </rPr>
      <t xml:space="preserve">마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화학공업제품</t>
    </r>
  </si>
  <si>
    <r>
      <rPr>
        <sz val="10"/>
        <color rgb="FF000000"/>
        <rFont val="WenQuanYi Zen Hei"/>
        <family val="2"/>
      </rPr>
      <t xml:space="preserve">바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기타 원자재</t>
    </r>
  </si>
  <si>
    <r>
      <rPr>
        <b val="true"/>
        <sz val="10"/>
        <color rgb="FF000000"/>
        <rFont val="맑은 고딕"/>
        <family val="0"/>
        <charset val="1"/>
      </rPr>
      <t xml:space="preserve">3.</t>
    </r>
    <r>
      <rPr>
        <b val="true"/>
        <sz val="10"/>
        <color rgb="FF000000"/>
        <rFont val="WenQuanYi Zen Hei"/>
        <family val="2"/>
      </rPr>
      <t xml:space="preserve">자본재</t>
    </r>
  </si>
  <si>
    <r>
      <rPr>
        <sz val="10"/>
        <color rgb="FF000000"/>
        <rFont val="WenQuanYi Zen Hei"/>
        <family val="2"/>
      </rPr>
      <t xml:space="preserve">가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수송장비</t>
    </r>
  </si>
  <si>
    <r>
      <rPr>
        <sz val="10"/>
        <color rgb="FF000000"/>
        <rFont val="WenQuanYi Zen Hei"/>
        <family val="2"/>
      </rPr>
      <t xml:space="preserve">나</t>
    </r>
    <r>
      <rPr>
        <sz val="10"/>
        <color rgb="FF000000"/>
        <rFont val="맑은 고딕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기계류</t>
    </r>
  </si>
  <si>
    <r>
      <rPr>
        <sz val="10"/>
        <color rgb="FF000000"/>
        <rFont val="WenQuanYi Zen Hei"/>
        <family val="2"/>
      </rPr>
      <t xml:space="preserve">다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제품</t>
    </r>
  </si>
  <si>
    <r>
      <rPr>
        <sz val="10"/>
        <color rgb="FF000000"/>
        <rFont val="WenQuanYi Zen Hei"/>
        <family val="2"/>
      </rPr>
      <t xml:space="preserve">라</t>
    </r>
    <r>
      <rPr>
        <sz val="10"/>
        <color rgb="FF000000"/>
        <rFont val="맑은 고딕"/>
        <family val="0"/>
        <charset val="1"/>
      </rPr>
      <t xml:space="preserve">.IT</t>
    </r>
    <r>
      <rPr>
        <sz val="10"/>
        <color rgb="FF000000"/>
        <rFont val="WenQuanYi Zen Hei"/>
        <family val="2"/>
      </rPr>
      <t xml:space="preserve">부품</t>
    </r>
  </si>
  <si>
    <r>
      <rPr>
        <i val="true"/>
        <sz val="9"/>
        <color rgb="FF595959"/>
        <rFont val="WenQuanYi Zen Hei"/>
        <family val="2"/>
      </rPr>
      <t xml:space="preserve">누계 비중은 각 시트 총계행</t>
    </r>
    <r>
      <rPr>
        <i val="true"/>
        <sz val="9"/>
        <color rgb="FF595959"/>
        <rFont val="맑은 고딕"/>
        <family val="0"/>
        <charset val="1"/>
      </rPr>
      <t xml:space="preserve">(7</t>
    </r>
    <r>
      <rPr>
        <i val="true"/>
        <sz val="9"/>
        <color rgb="FF595959"/>
        <rFont val="WenQuanYi Zen Hei"/>
        <family val="2"/>
      </rPr>
      <t xml:space="preserve">개월 수출 총액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대비 비중입니다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한 표에 대분류와 중분류가 함께 들어 있으므로 전체 행의 비중을 단순 합산하면 중복 집계됩니다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대분류 행만 더해야 </t>
    </r>
    <r>
      <rPr>
        <i val="true"/>
        <sz val="9"/>
        <color rgb="FF595959"/>
        <rFont val="맑은 고딕"/>
        <family val="0"/>
        <charset val="1"/>
      </rPr>
      <t xml:space="preserve">100%</t>
    </r>
    <r>
      <rPr>
        <i val="true"/>
        <sz val="9"/>
        <color rgb="FF595959"/>
        <rFont val="WenQuanYi Zen Hei"/>
        <family val="2"/>
      </rPr>
      <t xml:space="preserve">가 됩니다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</si>
  <si>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4"/>
        <color rgb="FF1F3864"/>
        <rFont val="WenQuanYi Zen Hei"/>
        <family val="2"/>
      </rPr>
      <t xml:space="preserve">④ 그래프 — 분석</t>
    </r>
    <r>
      <rPr>
        <b val="true"/>
        <sz val="14"/>
        <color rgb="FF1F3864"/>
        <rFont val="맑은 고딕"/>
        <family val="0"/>
        <charset val="1"/>
      </rPr>
      <t xml:space="preserve">2·</t>
    </r>
    <r>
      <rPr>
        <b val="true"/>
        <sz val="14"/>
        <color rgb="FF1F3864"/>
        <rFont val="WenQuanYi Zen Hei"/>
        <family val="2"/>
      </rPr>
      <t xml:space="preserve">분석</t>
    </r>
    <r>
      <rPr>
        <b val="true"/>
        <sz val="14"/>
        <color rgb="FF1F3864"/>
        <rFont val="맑은 고딕"/>
        <family val="0"/>
        <charset val="1"/>
      </rPr>
      <t xml:space="preserve">3 </t>
    </r>
    <r>
      <rPr>
        <b val="true"/>
        <sz val="14"/>
        <color rgb="FF1F3864"/>
        <rFont val="WenQuanYi Zen Hei"/>
        <family val="2"/>
      </rPr>
      <t xml:space="preserve">데이터를 그대로 참조</t>
    </r>
  </si>
  <si>
    <r>
      <rPr>
        <i val="true"/>
        <sz val="9"/>
        <color rgb="FF595959"/>
        <rFont val="WenQuanYi Zen Hei"/>
        <family val="2"/>
      </rPr>
      <t xml:space="preserve">아래 보조 데이터표는 그래프 전용이며 모두 수식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분석</t>
    </r>
    <r>
      <rPr>
        <i val="true"/>
        <sz val="9"/>
        <color rgb="FF595959"/>
        <rFont val="맑은 고딕"/>
        <family val="0"/>
        <charset val="1"/>
      </rPr>
      <t xml:space="preserve">2·</t>
    </r>
    <r>
      <rPr>
        <i val="true"/>
        <sz val="9"/>
        <color rgb="FF595959"/>
        <rFont val="WenQuanYi Zen Hei"/>
        <family val="2"/>
      </rPr>
      <t xml:space="preserve">분석</t>
    </r>
    <r>
      <rPr>
        <i val="true"/>
        <sz val="9"/>
        <color rgb="FF595959"/>
        <rFont val="맑은 고딕"/>
        <family val="0"/>
        <charset val="1"/>
      </rPr>
      <t xml:space="preserve">3 </t>
    </r>
    <r>
      <rPr>
        <i val="true"/>
        <sz val="9"/>
        <color rgb="FF595959"/>
        <rFont val="WenQuanYi Zen Hei"/>
        <family val="2"/>
      </rPr>
      <t xml:space="preserve">참조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원본 값이 바뀌면 표와 그래프가 함께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</si>
  <si>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1. 2026.01 = 100 </t>
    </r>
    <r>
      <rPr>
        <b val="true"/>
        <sz val="11"/>
        <color rgb="FF1F3864"/>
        <rFont val="WenQuanYi Zen Hei"/>
        <family val="2"/>
      </rPr>
      <t xml:space="preserve">지수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물량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금액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단가의 방향 비교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</si>
  <si>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지표</t>
  </si>
  <si>
    <t xml:space="preserve">수출 금액 지수</t>
  </si>
  <si>
    <t xml:space="preserve">수출 중량 지수</t>
  </si>
  <si>
    <t xml:space="preserve">수출 단가 지수</t>
  </si>
  <si>
    <t xml:space="preserve">수입 금액 지수</t>
  </si>
  <si>
    <r>
      <rPr>
        <b val="true"/>
        <sz val="11"/>
        <color rgb="FF1F3864"/>
        <rFont val="WenQuanYi Zen Hei"/>
        <family val="2"/>
      </rPr>
      <t xml:space="preserve">보조표 </t>
    </r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신성질별 중분류 — </t>
    </r>
    <r>
      <rPr>
        <b val="true"/>
        <sz val="11"/>
        <color rgb="FF1F3864"/>
        <rFont val="맑은 고딕"/>
        <family val="0"/>
        <charset val="1"/>
      </rPr>
      <t xml:space="preserve">1</t>
    </r>
    <r>
      <rPr>
        <b val="true"/>
        <sz val="11"/>
        <color rgb="FF1F3864"/>
        <rFont val="WenQuanYi Zen Hei"/>
        <family val="2"/>
      </rPr>
      <t xml:space="preserve">월 대비 </t>
    </r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월 증감액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증감액 순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</si>
  <si>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정렬 순서는 파일 작성 시점의 값 기준으로 고정되어 있습니다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 자동 재정렬 아님</t>
    </r>
    <r>
      <rPr>
        <i val="true"/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</si>
  <si>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4"/>
        <color rgb="FF1F3864"/>
        <rFont val="WenQuanYi Zen Hei"/>
        <family val="2"/>
      </rPr>
      <t xml:space="preserve">⑤ 전년 동월</t>
    </r>
    <r>
      <rPr>
        <b val="true"/>
        <sz val="14"/>
        <color rgb="FF1F3864"/>
        <rFont val="맑은 고딕"/>
        <family val="0"/>
        <charset val="1"/>
      </rPr>
      <t xml:space="preserve">/</t>
    </r>
    <r>
      <rPr>
        <b val="true"/>
        <sz val="14"/>
        <color rgb="FF1F3864"/>
        <rFont val="WenQuanYi Zen Hei"/>
        <family val="2"/>
      </rPr>
      <t xml:space="preserve">동기 대비 분석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전년도 값 입력 시 자동 계산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</si>
  <si>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★ 중요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업로드하신 원본 파일에는 </t>
    </r>
    <r>
      <rPr>
        <i val="true"/>
        <sz val="9"/>
        <color rgb="FF595959"/>
        <rFont val="맑은 고딕"/>
        <family val="0"/>
        <charset val="1"/>
      </rPr>
      <t xml:space="preserve">2026.01~07 </t>
    </r>
    <r>
      <rPr>
        <i val="true"/>
        <sz val="9"/>
        <color rgb="FF595959"/>
        <rFont val="WenQuanYi Zen Hei"/>
        <family val="2"/>
      </rPr>
      <t xml:space="preserve">자료만 들어 있고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WenQuanYi Zen Hei"/>
        <family val="2"/>
      </rPr>
      <t xml:space="preserve">년 자료가 없습니다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따라서 전년 대비</t>
    </r>
    <r>
      <rPr>
        <i val="true"/>
        <sz val="9"/>
        <color rgb="FF595959"/>
        <rFont val="맑은 고딕"/>
        <family val="0"/>
        <charset val="1"/>
      </rPr>
      <t xml:space="preserve">(YoY) </t>
    </r>
    <r>
      <rPr>
        <i val="true"/>
        <sz val="9"/>
        <color rgb="FF595959"/>
        <rFont val="WenQuanYi Zen Hei"/>
        <family val="2"/>
      </rPr>
      <t xml:space="preserve">수치는 파일만으로는 산출할 수 없어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값을 임의로 만들어 넣지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</si>
  <si>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노란색 셀에 관세청 수출입무역통계의 </t>
    </r>
    <r>
      <rPr>
        <i val="true"/>
        <sz val="9"/>
        <color rgb="FF595959"/>
        <rFont val="맑은 고딕"/>
        <family val="0"/>
        <charset val="1"/>
      </rPr>
      <t xml:space="preserve">2025</t>
    </r>
    <r>
      <rPr>
        <i val="true"/>
        <sz val="9"/>
        <color rgb="FF595959"/>
        <rFont val="WenQuanYi Zen Hei"/>
        <family val="2"/>
      </rPr>
      <t xml:space="preserve">년 동월 값을 붙여넣으면 전년동월비가 자동으로 계산되고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아래 요약도 자동 갱신됩니다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</si>
  <si>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[1] </t>
    </r>
    <r>
      <rPr>
        <b val="true"/>
        <sz val="11"/>
        <color rgb="FF1F3864"/>
        <rFont val="WenQuanYi Zen Hei"/>
        <family val="2"/>
      </rPr>
      <t xml:space="preserve">월별 총괄 — 전년 동월 대비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노란색 </t>
    </r>
    <r>
      <rPr>
        <b val="true"/>
        <sz val="11"/>
        <color rgb="FF1F3864"/>
        <rFont val="맑은 고딕"/>
        <family val="0"/>
        <charset val="1"/>
      </rPr>
      <t xml:space="preserve">= </t>
    </r>
    <r>
      <rPr>
        <b val="true"/>
        <sz val="11"/>
        <color rgb="FF1F3864"/>
        <rFont val="WenQuanYi Zen Hei"/>
        <family val="2"/>
      </rPr>
      <t xml:space="preserve">입력 셀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단위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</si>
  <si>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년 수출</t>
    </r>
  </si>
  <si>
    <r>
      <rPr>
        <b val="true"/>
        <sz val="10"/>
        <color rgb="FFFFFFFF"/>
        <rFont val="맑은 고딕"/>
        <family val="0"/>
        <charset val="1"/>
      </rPr>
      <t xml:space="preserve">2025</t>
    </r>
    <r>
      <rPr>
        <b val="true"/>
        <sz val="10"/>
        <color rgb="FFFFFFFF"/>
        <rFont val="WenQuanYi Zen Hei"/>
        <family val="2"/>
      </rPr>
      <t xml:space="preserve">년 수출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</si>
  <si>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전년동월비</t>
  </si>
  <si>
    <r>
      <rPr>
        <b val="true"/>
        <sz val="10"/>
        <color rgb="FFFFFFFF"/>
        <rFont val="맑은 고딕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년 수입</t>
    </r>
  </si>
  <si>
    <r>
      <rPr>
        <b val="true"/>
        <sz val="10"/>
        <color rgb="FFFFFFFF"/>
        <rFont val="맑은 고딕"/>
        <family val="0"/>
        <charset val="1"/>
      </rPr>
      <t xml:space="preserve">2025</t>
    </r>
    <r>
      <rPr>
        <b val="true"/>
        <sz val="10"/>
        <color rgb="FFFFFFFF"/>
        <rFont val="WenQuanYi Zen Hei"/>
        <family val="2"/>
      </rPr>
      <t xml:space="preserve">년 수입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</si>
  <si>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년 수지</t>
    </r>
  </si>
  <si>
    <r>
      <rPr>
        <b val="true"/>
        <sz val="10"/>
        <color rgb="FFFFFFFF"/>
        <rFont val="맑은 고딕"/>
        <family val="0"/>
        <charset val="1"/>
      </rPr>
      <t xml:space="preserve">2025</t>
    </r>
    <r>
      <rPr>
        <b val="true"/>
        <sz val="10"/>
        <color rgb="FFFFFFFF"/>
        <rFont val="WenQuanYi Zen Hei"/>
        <family val="2"/>
      </rPr>
      <t xml:space="preserve">년 수지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</si>
  <si>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수지 증감</t>
  </si>
  <si>
    <r>
      <rPr>
        <b val="true"/>
        <sz val="11"/>
        <color rgb="FF1F3864"/>
        <rFont val="맑은 고딕"/>
        <family val="0"/>
        <charset val="1"/>
      </rPr>
      <t xml:space="preserve">[2] </t>
    </r>
    <r>
      <rPr>
        <b val="true"/>
        <sz val="11"/>
        <color rgb="FF1F3864"/>
        <rFont val="WenQuanYi Zen Hei"/>
        <family val="2"/>
      </rPr>
      <t xml:space="preserve">대분류 </t>
    </r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개월 누계 — 전년 동기 대비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노란색 </t>
    </r>
    <r>
      <rPr>
        <b val="true"/>
        <sz val="11"/>
        <color rgb="FF1F3864"/>
        <rFont val="맑은 고딕"/>
        <family val="0"/>
        <charset val="1"/>
      </rPr>
      <t xml:space="preserve">= </t>
    </r>
    <r>
      <rPr>
        <b val="true"/>
        <sz val="11"/>
        <color rgb="FF1F3864"/>
        <rFont val="WenQuanYi Zen Hei"/>
        <family val="2"/>
      </rPr>
      <t xml:space="preserve">입력 셀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단위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</si>
  <si>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2026</t>
    </r>
    <r>
      <rPr>
        <b val="true"/>
        <sz val="10"/>
        <color rgb="FFFFFFFF"/>
        <rFont val="WenQuanYi Zen Hei"/>
        <family val="2"/>
      </rPr>
      <t xml:space="preserve">년 누계</t>
    </r>
  </si>
  <si>
    <r>
      <rPr>
        <b val="true"/>
        <sz val="10"/>
        <color rgb="FFFFFFFF"/>
        <rFont val="맑은 고딕"/>
        <family val="0"/>
        <charset val="1"/>
      </rPr>
      <t xml:space="preserve">2025</t>
    </r>
    <r>
      <rPr>
        <b val="true"/>
        <sz val="10"/>
        <color rgb="FFFFFFFF"/>
        <rFont val="WenQuanYi Zen Hei"/>
        <family val="2"/>
      </rPr>
      <t xml:space="preserve">년 누계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입력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</si>
  <si>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전년동기비</t>
  </si>
  <si>
    <t xml:space="preserve">증감액</t>
  </si>
  <si>
    <t xml:space="preserve">성질별</t>
  </si>
  <si>
    <t xml:space="preserve">신성질별</t>
  </si>
  <si>
    <r>
      <rPr>
        <i val="true"/>
        <sz val="9"/>
        <color rgb="FF595959"/>
        <rFont val="WenQuanYi Zen Hei"/>
        <family val="2"/>
      </rPr>
      <t xml:space="preserve">출처 표기 예시 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관세청 수출입무역통계</t>
    </r>
    <r>
      <rPr>
        <i val="true"/>
        <sz val="9"/>
        <color rgb="FF595959"/>
        <rFont val="맑은 고딕"/>
        <family val="0"/>
        <charset val="1"/>
      </rPr>
      <t xml:space="preserve">(unipass.customs.go.kr) — </t>
    </r>
    <r>
      <rPr>
        <i val="true"/>
        <sz val="9"/>
        <color rgb="FF595959"/>
        <rFont val="WenQuanYi Zen Hei"/>
        <family val="2"/>
      </rPr>
      <t xml:space="preserve">성질별</t>
    </r>
    <r>
      <rPr>
        <i val="true"/>
        <sz val="9"/>
        <color rgb="FF595959"/>
        <rFont val="맑은 고딕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신성질별 수출입실적</t>
    </r>
    <r>
      <rPr>
        <i val="true"/>
        <sz val="9"/>
        <color rgb="FF595959"/>
        <rFont val="맑은 고딕"/>
        <family val="0"/>
        <charset val="1"/>
      </rPr>
      <t xml:space="preserve">, 2025.01~07, </t>
    </r>
    <r>
      <rPr>
        <i val="true"/>
        <sz val="9"/>
        <color rgb="FF595959"/>
        <rFont val="WenQuanYi Zen Hei"/>
        <family val="2"/>
      </rPr>
      <t xml:space="preserve">수리일 기준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값을 입력할 때 통계 기준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수리일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중량단위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톤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를 원본과 동일하게 맞추셔야 비교가 성립합니다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</si>
  <si>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참고</t>
    </r>
    <r>
      <rPr>
        <b val="true"/>
        <sz val="11"/>
        <color rgb="FF1F3864"/>
        <rFont val="맑은 고딕"/>
        <family val="0"/>
        <charset val="1"/>
      </rPr>
      <t xml:space="preserve">] </t>
    </r>
    <r>
      <rPr>
        <b val="true"/>
        <sz val="11"/>
        <color rgb="FF1F3864"/>
        <rFont val="WenQuanYi Zen Hei"/>
        <family val="2"/>
      </rPr>
      <t xml:space="preserve">전년 자료가 없어도 확인 가능한 대안 지표</t>
    </r>
  </si>
  <si>
    <r>
      <rPr>
        <b val="true"/>
        <sz val="10"/>
        <color rgb="FF000000"/>
        <rFont val="WenQuanYi Zen Hei"/>
        <family val="2"/>
      </rPr>
      <t xml:space="preserve">연초 대비</t>
    </r>
    <r>
      <rPr>
        <b val="true"/>
        <sz val="10"/>
        <color rgb="FF000000"/>
        <rFont val="맑은 고딕"/>
        <family val="0"/>
        <charset val="1"/>
      </rPr>
      <t xml:space="preserve">(1</t>
    </r>
    <r>
      <rPr>
        <b val="true"/>
        <sz val="10"/>
        <color rgb="FF000000"/>
        <rFont val="WenQuanYi Zen Hei"/>
        <family val="2"/>
      </rPr>
      <t xml:space="preserve">월→</t>
    </r>
    <r>
      <rPr>
        <b val="true"/>
        <sz val="10"/>
        <color rgb="FF000000"/>
        <rFont val="맑은 고딕"/>
        <family val="0"/>
        <charset val="1"/>
      </rPr>
      <t xml:space="preserve">7</t>
    </r>
    <r>
      <rPr>
        <b val="true"/>
        <sz val="10"/>
        <color rgb="FF000000"/>
        <rFont val="WenQuanYi Zen Hei"/>
        <family val="2"/>
      </rPr>
      <t xml:space="preserve">월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증감률</t>
    </r>
  </si>
  <si>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3_</t>
    </r>
    <r>
      <rPr>
        <sz val="10"/>
        <color rgb="FF000000"/>
        <rFont val="WenQuanYi Zen Hei"/>
        <family val="2"/>
      </rPr>
      <t xml:space="preserve">품목별증감 </t>
    </r>
    <r>
      <rPr>
        <sz val="10"/>
        <color rgb="FF000000"/>
        <rFont val="맑은 고딕"/>
        <family val="0"/>
        <charset val="1"/>
      </rPr>
      <t xml:space="preserve">L</t>
    </r>
    <r>
      <rPr>
        <sz val="10"/>
        <color rgb="FF000000"/>
        <rFont val="WenQuanYi Zen Hei"/>
        <family val="2"/>
      </rPr>
      <t xml:space="preserve">열 — 계절성은 걷어내지 못하지만 기간 내 추세는 볼 수 있습니다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</si>
  <si>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조업일수 보정 일평균</t>
  </si>
  <si>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2_</t>
    </r>
    <r>
      <rPr>
        <sz val="10"/>
        <color rgb="FF000000"/>
        <rFont val="WenQuanYi Zen Hei"/>
        <family val="2"/>
      </rPr>
      <t xml:space="preserve">월별추이 </t>
    </r>
    <r>
      <rPr>
        <sz val="10"/>
        <color rgb="FF000000"/>
        <rFont val="맑은 고딕"/>
        <family val="0"/>
        <charset val="1"/>
      </rPr>
      <t xml:space="preserve">K·L</t>
    </r>
    <r>
      <rPr>
        <sz val="10"/>
        <color rgb="FF000000"/>
        <rFont val="WenQuanYi Zen Hei"/>
        <family val="2"/>
      </rPr>
      <t xml:space="preserve">열 —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(19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처럼 영업일이 짧은 달의 착시를 제거합니다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</si>
  <si>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WenQuanYi Zen Hei"/>
        <family val="2"/>
      </rPr>
      <t xml:space="preserve">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금액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WenQuanYi Zen Hei"/>
        <family val="2"/>
      </rPr>
      <t xml:space="preserve">중량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</si>
  <si>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2_</t>
    </r>
    <r>
      <rPr>
        <sz val="10"/>
        <color rgb="FF000000"/>
        <rFont val="WenQuanYi Zen Hei"/>
        <family val="2"/>
      </rPr>
      <t xml:space="preserve">월별추이 </t>
    </r>
    <r>
      <rPr>
        <sz val="10"/>
        <color rgb="FF000000"/>
        <rFont val="맑은 고딕"/>
        <family val="0"/>
        <charset val="1"/>
      </rPr>
      <t xml:space="preserve">M·N</t>
    </r>
    <r>
      <rPr>
        <sz val="10"/>
        <color rgb="FF000000"/>
        <rFont val="WenQuanYi Zen Hei"/>
        <family val="2"/>
      </rPr>
      <t xml:space="preserve">열 — 물량 효과와 가격 효과를 분리합니다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</si>
  <si>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구성비 변화</t>
  </si>
  <si>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3_</t>
    </r>
    <r>
      <rPr>
        <sz val="10"/>
        <color rgb="FF000000"/>
        <rFont val="WenQuanYi Zen Hei"/>
        <family val="2"/>
      </rPr>
      <t xml:space="preserve">품목별증감 </t>
    </r>
    <r>
      <rPr>
        <sz val="10"/>
        <color rgb="FF000000"/>
        <rFont val="맑은 고딕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열 — 어떤 품목이 포트폴리오에서 커졌는지 봅니다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</si>
  <si>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⑥ 분석 결과 해설 — 숫자가 말하는 것</t>
  </si>
  <si>
    <r>
      <rPr>
        <i val="true"/>
        <sz val="9"/>
        <color rgb="FF595959"/>
        <rFont val="WenQuanYi Zen Hei"/>
        <family val="2"/>
      </rPr>
      <t xml:space="preserve">아래 </t>
    </r>
    <r>
      <rPr>
        <i val="true"/>
        <sz val="9"/>
        <color rgb="FF595959"/>
        <rFont val="맑은 고딕"/>
        <family val="0"/>
        <charset val="1"/>
      </rPr>
      <t xml:space="preserve">[</t>
    </r>
    <r>
      <rPr>
        <i val="true"/>
        <sz val="9"/>
        <color rgb="FF595959"/>
        <rFont val="WenQuanYi Zen Hei"/>
        <family val="2"/>
      </rPr>
      <t xml:space="preserve">핵심 수치</t>
    </r>
    <r>
      <rPr>
        <i val="true"/>
        <sz val="9"/>
        <color rgb="FF595959"/>
        <rFont val="맑은 고딕"/>
        <family val="0"/>
        <charset val="1"/>
      </rPr>
      <t xml:space="preserve">] </t>
    </r>
    <r>
      <rPr>
        <i val="true"/>
        <sz val="9"/>
        <color rgb="FF595959"/>
        <rFont val="WenQuanYi Zen Hei"/>
        <family val="2"/>
      </rPr>
      <t xml:space="preserve">표는 모두 수식이며 원본이 바뀌면 자동 갱신됩니다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본문 서술의 숫자는 </t>
    </r>
    <r>
      <rPr>
        <i val="true"/>
        <sz val="9"/>
        <color rgb="FF595959"/>
        <rFont val="맑은 고딕"/>
        <family val="0"/>
        <charset val="1"/>
      </rPr>
      <t xml:space="preserve">2026.01~07 </t>
    </r>
    <r>
      <rPr>
        <i val="true"/>
        <sz val="9"/>
        <color rgb="FF595959"/>
        <rFont val="WenQuanYi Zen Hei"/>
        <family val="2"/>
      </rPr>
      <t xml:space="preserve">자료 기준입니다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</si>
  <si>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핵심 수치</t>
    </r>
    <r>
      <rPr>
        <b val="true"/>
        <sz val="11"/>
        <color rgb="FF1F3864"/>
        <rFont val="맑은 고딕"/>
        <family val="0"/>
        <charset val="1"/>
      </rPr>
      <t xml:space="preserve">] (</t>
    </r>
    <r>
      <rPr>
        <b val="true"/>
        <sz val="11"/>
        <color rgb="FF1F3864"/>
        <rFont val="WenQuanYi Zen Hei"/>
        <family val="2"/>
      </rPr>
      <t xml:space="preserve">단위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천달러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톤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</si>
  <si>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기간 최고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</si>
  <si>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월→</t>
    </r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 변화</t>
    </r>
  </si>
  <si>
    <t xml:space="preserve">수입 금액</t>
  </si>
  <si>
    <r>
      <rPr>
        <b val="true"/>
        <sz val="10"/>
        <color rgb="FF000000"/>
        <rFont val="WenQuanYi Zen Hei"/>
        <family val="2"/>
      </rPr>
      <t xml:space="preserve">수출 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$/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</si>
  <si>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수입 단가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천</t>
    </r>
    <r>
      <rPr>
        <b val="true"/>
        <sz val="10"/>
        <color rgb="FF000000"/>
        <rFont val="맑은 고딕"/>
        <family val="0"/>
        <charset val="1"/>
      </rPr>
      <t xml:space="preserve">$/</t>
    </r>
    <r>
      <rPr>
        <b val="true"/>
        <sz val="10"/>
        <color rgb="FF000000"/>
        <rFont val="WenQuanYi Zen Hei"/>
        <family val="2"/>
      </rPr>
      <t xml:space="preserve">톤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</si>
  <si>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일평균 수출</t>
  </si>
  <si>
    <r>
      <rPr>
        <b val="true"/>
        <sz val="11"/>
        <color rgb="FF1F3864"/>
        <rFont val="맑은 고딕"/>
        <family val="0"/>
        <charset val="1"/>
      </rPr>
      <t xml:space="preserve">[</t>
    </r>
    <r>
      <rPr>
        <b val="true"/>
        <sz val="11"/>
        <color rgb="FF1F3864"/>
        <rFont val="WenQuanYi Zen Hei"/>
        <family val="2"/>
      </rPr>
      <t xml:space="preserve">증가 기여도 상위</t>
    </r>
    <r>
      <rPr>
        <b val="true"/>
        <sz val="11"/>
        <color rgb="FF1F3864"/>
        <rFont val="맑은 고딕"/>
        <family val="0"/>
        <charset val="1"/>
      </rPr>
      <t xml:space="preserve">] 1</t>
    </r>
    <r>
      <rPr>
        <b val="true"/>
        <sz val="11"/>
        <color rgb="FF1F3864"/>
        <rFont val="WenQuanYi Zen Hei"/>
        <family val="2"/>
      </rPr>
      <t xml:space="preserve">월 대비 </t>
    </r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월 수출 증가분을 누가 만들었나</t>
    </r>
  </si>
  <si>
    <r>
      <rPr>
        <b val="true"/>
        <sz val="10"/>
        <color rgb="FFFFFFFF"/>
        <rFont val="WenQuanYi Zen Hei"/>
        <family val="2"/>
      </rPr>
      <t xml:space="preserve">품목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신성질별 중분류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</si>
  <si>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</si>
  <si>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</si>
  <si>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증감률</t>
  </si>
  <si>
    <t xml:space="preserve">전체 증가분 대비 기여도</t>
  </si>
  <si>
    <r>
      <rPr>
        <b val="true"/>
        <sz val="10"/>
        <color rgb="FF000000"/>
        <rFont val="WenQuanYi Zen Hei"/>
        <family val="2"/>
      </rPr>
      <t xml:space="preserve">라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부품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</si>
  <si>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.IT</t>
    </r>
    <r>
      <rPr>
        <b val="true"/>
        <sz val="10"/>
        <color rgb="FF000000"/>
        <rFont val="WenQuanYi Zen Hei"/>
        <family val="2"/>
      </rPr>
      <t xml:space="preserve">제품</t>
    </r>
  </si>
  <si>
    <r>
      <rPr>
        <b val="true"/>
        <sz val="10"/>
        <color rgb="FF000000"/>
        <rFont val="WenQuanYi Zen Hei"/>
        <family val="2"/>
      </rPr>
      <t xml:space="preserve">다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광산물</t>
    </r>
  </si>
  <si>
    <r>
      <rPr>
        <b val="true"/>
        <sz val="10"/>
        <color rgb="FF000000"/>
        <rFont val="WenQuanYi Zen Hei"/>
        <family val="2"/>
      </rPr>
      <t xml:space="preserve">나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기계류</t>
    </r>
  </si>
  <si>
    <r>
      <rPr>
        <b val="true"/>
        <sz val="10"/>
        <color rgb="FF000000"/>
        <rFont val="WenQuanYi Zen Hei"/>
        <family val="2"/>
      </rPr>
      <t xml:space="preserve">마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화학공업제품</t>
    </r>
  </si>
  <si>
    <r>
      <rPr>
        <b val="true"/>
        <sz val="10"/>
        <color rgb="FF000000"/>
        <rFont val="WenQuanYi Zen Hei"/>
        <family val="2"/>
      </rPr>
      <t xml:space="preserve">가</t>
    </r>
    <r>
      <rPr>
        <b val="true"/>
        <sz val="10"/>
        <color rgb="FF000000"/>
        <rFont val="맑은 고딕"/>
        <family val="0"/>
        <charset val="1"/>
      </rPr>
      <t xml:space="preserve">.</t>
    </r>
    <r>
      <rPr>
        <b val="true"/>
        <sz val="10"/>
        <color rgb="FF000000"/>
        <rFont val="WenQuanYi Zen Hei"/>
        <family val="2"/>
      </rPr>
      <t xml:space="preserve">수송장비</t>
    </r>
  </si>
  <si>
    <r>
      <rPr>
        <b val="true"/>
        <sz val="11"/>
        <color rgb="FF1F3864"/>
        <rFont val="맑은 고딕"/>
        <family val="0"/>
        <charset val="1"/>
      </rPr>
      <t xml:space="preserve">1. </t>
    </r>
    <r>
      <rPr>
        <b val="true"/>
        <sz val="11"/>
        <color rgb="FF1F3864"/>
        <rFont val="WenQuanYi Zen Hei"/>
        <family val="2"/>
      </rPr>
      <t xml:space="preserve">무엇을 어떻게 분석했나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</si>
  <si>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시트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수출입 총괄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성질별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신성질별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2026.01~07, </t>
    </r>
    <r>
      <rPr>
        <sz val="10"/>
        <color rgb="FF000000"/>
        <rFont val="WenQuanYi Zen Hei"/>
        <family val="2"/>
      </rPr>
      <t xml:space="preserve">수리일 기준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단위는 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맑은 고딕"/>
        <family val="0"/>
        <charset val="1"/>
      </rPr>
      <t xml:space="preserve">(TON)·</t>
    </r>
    <r>
      <rPr>
        <sz val="10"/>
        <color rgb="FF000000"/>
        <rFont val="WenQuanYi Zen Hei"/>
        <family val="2"/>
      </rPr>
      <t xml:space="preserve">천달러입니다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</si>
  <si>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성질별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신성질별 시트는 검색조건이 </t>
    </r>
    <r>
      <rPr>
        <sz val="10"/>
        <color rgb="FF000000"/>
        <rFont val="맑은 고딕"/>
        <family val="0"/>
        <charset val="1"/>
      </rPr>
      <t xml:space="preserve">[</t>
    </r>
    <r>
      <rPr>
        <sz val="10"/>
        <color rgb="FF000000"/>
        <rFont val="WenQuanYi Zen Hei"/>
        <family val="2"/>
      </rPr>
      <t xml:space="preserve">성질명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수출</t>
    </r>
    <r>
      <rPr>
        <sz val="10"/>
        <color rgb="FF000000"/>
        <rFont val="맑은 고딕"/>
        <family val="0"/>
        <charset val="1"/>
      </rPr>
      <t xml:space="preserve">]</t>
    </r>
    <r>
      <rPr>
        <sz val="10"/>
        <color rgb="FF000000"/>
        <rFont val="WenQuanYi Zen Hei"/>
        <family val="2"/>
      </rPr>
      <t xml:space="preserve">이므로 수출 실적만 담고 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수입은 총괄 시트에만 총액으로 존재하며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그래서 품목별 수입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품목별 무역수지는 이 파일만으로는 계산할 수 없습니다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</si>
  <si>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원본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시트는 값 하나도 수정하지 않았고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1~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시트를 새로 추가해 모두 수식으로 원본을 참조하도록 만들었습니다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</si>
  <si>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2. </t>
    </r>
    <r>
      <rPr>
        <b val="true"/>
        <sz val="11"/>
        <color rgb="FF1F3864"/>
        <rFont val="WenQuanYi Zen Hei"/>
        <family val="2"/>
      </rPr>
      <t xml:space="preserve">합계 정합성 — 결론</t>
    </r>
    <r>
      <rPr>
        <b val="true"/>
        <sz val="11"/>
        <color rgb="FF1F3864"/>
        <rFont val="맑은 고딕"/>
        <family val="0"/>
        <charset val="1"/>
      </rPr>
      <t xml:space="preserve">: </t>
    </r>
    <r>
      <rPr>
        <b val="true"/>
        <sz val="11"/>
        <color rgb="FF1F3864"/>
        <rFont val="WenQuanYi Zen Hei"/>
        <family val="2"/>
      </rPr>
      <t xml:space="preserve">데이터는 신뢰할 수 있습니다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</si>
  <si>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검증 항목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시트</t>
    </r>
    <r>
      <rPr>
        <sz val="10"/>
        <color rgb="FF000000"/>
        <rFont val="맑은 고딕"/>
        <family val="0"/>
        <charset val="1"/>
      </rPr>
      <t xml:space="preserve">): ① </t>
    </r>
    <r>
      <rPr>
        <sz val="10"/>
        <color rgb="FF000000"/>
        <rFont val="WenQuanYi Zen Hei"/>
        <family val="2"/>
      </rPr>
      <t xml:space="preserve">총괄 총계행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월별 합계</t>
    </r>
    <r>
      <rPr>
        <sz val="10"/>
        <color rgb="FF000000"/>
        <rFont val="맑은 고딕"/>
        <family val="0"/>
        <charset val="1"/>
      </rPr>
      <t xml:space="preserve">(8</t>
    </r>
    <r>
      <rPr>
        <sz val="10"/>
        <color rgb="FF000000"/>
        <rFont val="WenQuanYi Zen Hei"/>
        <family val="2"/>
      </rPr>
      <t xml:space="preserve">개 지표</t>
    </r>
    <r>
      <rPr>
        <sz val="10"/>
        <color rgb="FF000000"/>
        <rFont val="맑은 고딕"/>
        <family val="0"/>
        <charset val="1"/>
      </rPr>
      <t xml:space="preserve">) ② </t>
    </r>
    <r>
      <rPr>
        <sz val="10"/>
        <color rgb="FF000000"/>
        <rFont val="WenQuanYi Zen Hei"/>
        <family val="2"/>
      </rPr>
      <t xml:space="preserve">무역수지 항등식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수출−수입</t>
    </r>
    <r>
      <rPr>
        <sz val="10"/>
        <color rgb="FF000000"/>
        <rFont val="맑은 고딕"/>
        <family val="0"/>
        <charset val="1"/>
      </rPr>
      <t xml:space="preserve">=</t>
    </r>
    <r>
      <rPr>
        <sz val="10"/>
        <color rgb="FF000000"/>
        <rFont val="WenQuanYi Zen Hei"/>
        <family val="2"/>
      </rPr>
      <t xml:space="preserve">수지</t>
    </r>
    <r>
      <rPr>
        <sz val="10"/>
        <color rgb="FF000000"/>
        <rFont val="맑은 고딕"/>
        <family val="0"/>
        <charset val="1"/>
      </rPr>
      <t xml:space="preserve">) ③ </t>
    </r>
    <r>
      <rPr>
        <sz val="10"/>
        <color rgb="FF000000"/>
        <rFont val="WenQuanYi Zen Hei"/>
        <family val="2"/>
      </rPr>
      <t xml:space="preserve">성질별 대분류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개 합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총괄 수출 ④ 성질별 중분류 합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대분류 ⑤ 신성질별 대분류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합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총괄 수출 ⑥ 신성질별 중분류 합 </t>
    </r>
    <r>
      <rPr>
        <sz val="10"/>
        <color rgb="FF000000"/>
        <rFont val="맑은 고딕"/>
        <family val="0"/>
        <charset val="1"/>
      </rPr>
      <t xml:space="preserve">vs </t>
    </r>
    <r>
      <rPr>
        <sz val="10"/>
        <color rgb="FF000000"/>
        <rFont val="WenQuanYi Zen Hei"/>
        <family val="2"/>
      </rPr>
      <t xml:space="preserve">대분류 ⑦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개 시트 총계 교차검증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</si>
  <si>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모든 항목이 일치했습니다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관측된 최대 편차는 금액 </t>
    </r>
    <r>
      <rPr>
        <sz val="10"/>
        <color rgb="FF000000"/>
        <rFont val="맑은 고딕"/>
        <family val="0"/>
        <charset val="1"/>
      </rPr>
      <t xml:space="preserve">±2</t>
    </r>
    <r>
      <rPr>
        <sz val="10"/>
        <color rgb="FF000000"/>
        <rFont val="WenQuanYi Zen Hei"/>
        <family val="2"/>
      </rPr>
      <t xml:space="preserve">천달러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중량 </t>
    </r>
    <r>
      <rPr>
        <sz val="10"/>
        <color rgb="FF000000"/>
        <rFont val="맑은 고딕"/>
        <family val="0"/>
        <charset val="1"/>
      </rPr>
      <t xml:space="preserve">±0.2</t>
    </r>
    <r>
      <rPr>
        <sz val="10"/>
        <color rgb="FF000000"/>
        <rFont val="WenQuanYi Zen Hei"/>
        <family val="2"/>
      </rPr>
      <t xml:space="preserve">톤입니다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개월 수출 총액이 </t>
    </r>
    <r>
      <rPr>
        <sz val="10"/>
        <color rgb="FF000000"/>
        <rFont val="맑은 고딕"/>
        <family val="0"/>
        <charset val="1"/>
      </rPr>
      <t xml:space="preserve">5,950.6</t>
    </r>
    <r>
      <rPr>
        <sz val="10"/>
        <color rgb="FF000000"/>
        <rFont val="WenQuanYi Zen Hei"/>
        <family val="2"/>
      </rPr>
      <t xml:space="preserve">억 달러이므로 총액의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억분의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에도 못 미치는 차이이며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원본이 소수 첫째자리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중량</t>
    </r>
    <r>
      <rPr>
        <sz val="10"/>
        <color rgb="FF000000"/>
        <rFont val="맑은 고딕"/>
        <family val="0"/>
        <charset val="1"/>
      </rPr>
      <t xml:space="preserve">)·</t>
    </r>
    <r>
      <rPr>
        <sz val="10"/>
        <color rgb="FF000000"/>
        <rFont val="WenQuanYi Zen Hei"/>
        <family val="2"/>
      </rPr>
      <t xml:space="preserve">정수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금액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로 반올림되어 제공되기 때문에 생기는 반올림 누적 오차입니다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데이터 오류가 아닙니다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</si>
  <si>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의미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성질별과 신성질별은 같은 원자료를 다른 기준으로 나눈 두 개의 뷰이고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어느 쪽으로 집계해도 총괄과 같은 총액이 나옵니다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따라서 두 분류를 교차해 해석해도 무방합니다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신성질별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 급증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성질별 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전자제품 급증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</si>
  <si>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유일한 눈에 띄는 점</t>
    </r>
    <r>
      <rPr>
        <sz val="10"/>
        <color rgb="FF000000"/>
        <rFont val="맑은 고딕"/>
        <family val="0"/>
        <charset val="1"/>
      </rPr>
      <t xml:space="preserve">: 2026.07</t>
    </r>
    <r>
      <rPr>
        <sz val="10"/>
        <color rgb="FF000000"/>
        <rFont val="WenQuanYi Zen Hei"/>
        <family val="2"/>
      </rPr>
      <t xml:space="preserve">의 무역수지는 수출−수입 계산값과 원본 표기값이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천달러 차이 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역시 반올림 차이입니다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</si>
  <si>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3. </t>
    </r>
    <r>
      <rPr>
        <b val="true"/>
        <sz val="11"/>
        <color rgb="FF1F3864"/>
        <rFont val="WenQuanYi Zen Hei"/>
        <family val="2"/>
      </rPr>
      <t xml:space="preserve">총괄 추이 — 수출 확대와 흑자 폭 확대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그러나 </t>
    </r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월은 실질 둔화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</si>
  <si>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수출은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658.4</t>
    </r>
    <r>
      <rPr>
        <sz val="10"/>
        <color rgb="FF000000"/>
        <rFont val="WenQuanYi Zen Hei"/>
        <family val="2"/>
      </rPr>
      <t xml:space="preserve">억 달러에서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1,019.6</t>
    </r>
    <r>
      <rPr>
        <sz val="10"/>
        <color rgb="FF000000"/>
        <rFont val="WenQuanYi Zen Hei"/>
        <family val="2"/>
      </rPr>
      <t xml:space="preserve">억 달러까지 올라간 뒤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989.6</t>
    </r>
    <r>
      <rPr>
        <sz val="10"/>
        <color rgb="FF000000"/>
        <rFont val="WenQuanYi Zen Hei"/>
        <family val="2"/>
      </rPr>
      <t xml:space="preserve">억 달러로 꺾였습니다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전월비 −</t>
    </r>
    <r>
      <rPr>
        <sz val="10"/>
        <color rgb="FF000000"/>
        <rFont val="맑은 고딕"/>
        <family val="0"/>
        <charset val="1"/>
      </rPr>
      <t xml:space="preserve">2.9%). 7</t>
    </r>
    <r>
      <rPr>
        <sz val="10"/>
        <color rgb="FF000000"/>
        <rFont val="WenQuanYi Zen Hei"/>
        <family val="2"/>
      </rPr>
      <t xml:space="preserve">개월 누계는 </t>
    </r>
    <r>
      <rPr>
        <sz val="10"/>
        <color rgb="FF000000"/>
        <rFont val="맑은 고딕"/>
        <family val="0"/>
        <charset val="1"/>
      </rPr>
      <t xml:space="preserve">5,950.6</t>
    </r>
    <r>
      <rPr>
        <sz val="10"/>
        <color rgb="FF000000"/>
        <rFont val="WenQuanYi Zen Hei"/>
        <family val="2"/>
      </rPr>
      <t xml:space="preserve">억 달러입니다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</si>
  <si>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무역수지는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 내내 흑자였고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87.0</t>
    </r>
    <r>
      <rPr>
        <sz val="10"/>
        <color rgb="FF000000"/>
        <rFont val="WenQuanYi Zen Hei"/>
        <family val="2"/>
      </rPr>
      <t xml:space="preserve">억 달러에서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359.0</t>
    </r>
    <r>
      <rPr>
        <sz val="10"/>
        <color rgb="FF000000"/>
        <rFont val="WenQuanYi Zen Hei"/>
        <family val="2"/>
      </rPr>
      <t xml:space="preserve">억 달러로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배 이상 커졌다가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303.9</t>
    </r>
    <r>
      <rPr>
        <sz val="10"/>
        <color rgb="FF000000"/>
        <rFont val="WenQuanYi Zen Hei"/>
        <family val="2"/>
      </rPr>
      <t xml:space="preserve">억 달러로 줄었습니다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누계 흑자는 </t>
    </r>
    <r>
      <rPr>
        <sz val="10"/>
        <color rgb="FF000000"/>
        <rFont val="맑은 고딕"/>
        <family val="0"/>
        <charset val="1"/>
      </rPr>
      <t xml:space="preserve">1,677.6</t>
    </r>
    <r>
      <rPr>
        <sz val="10"/>
        <color rgb="FF000000"/>
        <rFont val="WenQuanYi Zen Hei"/>
        <family val="2"/>
      </rPr>
      <t xml:space="preserve">억 달러입니다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</si>
  <si>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조업일수 보정이 중요합니다</t>
    </r>
    <r>
      <rPr>
        <sz val="10"/>
        <color rgb="FF000000"/>
        <rFont val="맑은 고딕"/>
        <family val="0"/>
        <charset val="1"/>
      </rPr>
      <t xml:space="preserve">. 2</t>
    </r>
    <r>
      <rPr>
        <sz val="10"/>
        <color rgb="FF000000"/>
        <rFont val="WenQuanYi Zen Hei"/>
        <family val="2"/>
      </rPr>
      <t xml:space="preserve">월은 조업일수가 </t>
    </r>
    <r>
      <rPr>
        <sz val="10"/>
        <color rgb="FF000000"/>
        <rFont val="맑은 고딕"/>
        <family val="0"/>
        <charset val="1"/>
      </rPr>
      <t xml:space="preserve">19</t>
    </r>
    <r>
      <rPr>
        <sz val="10"/>
        <color rgb="FF000000"/>
        <rFont val="WenQuanYi Zen Hei"/>
        <family val="2"/>
      </rPr>
      <t xml:space="preserve">일로 가장 짧아 월 합계가 작아 보이지만 일평균 수출은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(23.5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보다 오히려 </t>
    </r>
    <r>
      <rPr>
        <sz val="10"/>
        <color rgb="FF000000"/>
        <rFont val="맑은 고딕"/>
        <family val="0"/>
        <charset val="1"/>
      </rPr>
      <t xml:space="preserve">27% </t>
    </r>
    <r>
      <rPr>
        <sz val="10"/>
        <color rgb="FF000000"/>
        <rFont val="WenQuanYi Zen Hei"/>
        <family val="2"/>
      </rPr>
      <t xml:space="preserve">높습니다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월의 부진은 착시입니다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</si>
  <si>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반대로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월은 조업일수가 </t>
    </r>
    <r>
      <rPr>
        <sz val="10"/>
        <color rgb="FF000000"/>
        <rFont val="맑은 고딕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일로 </t>
    </r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(22.5</t>
    </r>
    <r>
      <rPr>
        <sz val="10"/>
        <color rgb="FF000000"/>
        <rFont val="WenQuanYi Zen Hei"/>
        <family val="2"/>
      </rPr>
      <t xml:space="preserve">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보다 많았습니다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그래서 월 합계로는 −</t>
    </r>
    <r>
      <rPr>
        <sz val="10"/>
        <color rgb="FF000000"/>
        <rFont val="맑은 고딕"/>
        <family val="0"/>
        <charset val="1"/>
      </rPr>
      <t xml:space="preserve">2.9%</t>
    </r>
    <r>
      <rPr>
        <sz val="10"/>
        <color rgb="FF000000"/>
        <rFont val="WenQuanYi Zen Hei"/>
        <family val="2"/>
      </rPr>
      <t xml:space="preserve">인 감소가 일평균 기준으로는 −</t>
    </r>
    <r>
      <rPr>
        <sz val="10"/>
        <color rgb="FF000000"/>
        <rFont val="맑은 고딕"/>
        <family val="0"/>
        <charset val="1"/>
      </rPr>
      <t xml:space="preserve">9.0%</t>
    </r>
    <r>
      <rPr>
        <sz val="10"/>
        <color rgb="FF000000"/>
        <rFont val="WenQuanYi Zen Hei"/>
        <family val="2"/>
      </rPr>
      <t xml:space="preserve">가 됩니다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 둔화는 달력 효과가 아니라 실질적인 둔화라는 뜻입니다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차이를 보려면 분석</t>
    </r>
    <r>
      <rPr>
        <sz val="10"/>
        <color rgb="FF000000"/>
        <rFont val="맑은 고딕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시트의 </t>
    </r>
    <r>
      <rPr>
        <sz val="10"/>
        <color rgb="FF000000"/>
        <rFont val="맑은 고딕"/>
        <family val="0"/>
        <charset val="1"/>
      </rPr>
      <t xml:space="preserve">K·L</t>
    </r>
    <r>
      <rPr>
        <sz val="10"/>
        <color rgb="FF000000"/>
        <rFont val="WenQuanYi Zen Hei"/>
        <family val="2"/>
      </rPr>
      <t xml:space="preserve">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일평균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을 보셔야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</si>
  <si>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4. </t>
    </r>
    <r>
      <rPr>
        <b val="true"/>
        <sz val="11"/>
        <color rgb="FF1F3864"/>
        <rFont val="WenQuanYi Zen Hei"/>
        <family val="2"/>
      </rPr>
      <t xml:space="preserve">성장의 정체 — 물량이 아니라 단가가 끌어올렸습니다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</si>
  <si>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수출 중량은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1,674</t>
    </r>
    <r>
      <rPr>
        <sz val="10"/>
        <color rgb="FF000000"/>
        <rFont val="WenQuanYi Zen Hei"/>
        <family val="2"/>
      </rPr>
      <t xml:space="preserve">만 톤에서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1,766</t>
    </r>
    <r>
      <rPr>
        <sz val="10"/>
        <color rgb="FF000000"/>
        <rFont val="WenQuanYi Zen Hei"/>
        <family val="2"/>
      </rPr>
      <t xml:space="preserve">만 톤으로 </t>
    </r>
    <r>
      <rPr>
        <sz val="10"/>
        <color rgb="FF000000"/>
        <rFont val="맑은 고딕"/>
        <family val="0"/>
        <charset val="1"/>
      </rPr>
      <t xml:space="preserve">+5.5% </t>
    </r>
    <r>
      <rPr>
        <sz val="10"/>
        <color rgb="FF000000"/>
        <rFont val="WenQuanYi Zen Hei"/>
        <family val="2"/>
      </rPr>
      <t xml:space="preserve">늘었을 뿐인데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수출 금액은 </t>
    </r>
    <r>
      <rPr>
        <sz val="10"/>
        <color rgb="FF000000"/>
        <rFont val="맑은 고딕"/>
        <family val="0"/>
        <charset val="1"/>
      </rPr>
      <t xml:space="preserve">+50.3% </t>
    </r>
    <r>
      <rPr>
        <sz val="10"/>
        <color rgb="FF000000"/>
        <rFont val="WenQuanYi Zen Hei"/>
        <family val="2"/>
      </rPr>
      <t xml:space="preserve">늘었습니다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</si>
  <si>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그 차이는 전부 단가입니다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단가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금액</t>
    </r>
    <r>
      <rPr>
        <sz val="10"/>
        <color rgb="FF000000"/>
        <rFont val="맑은 고딕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중량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3.933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5.603 </t>
    </r>
    <r>
      <rPr>
        <sz val="10"/>
        <color rgb="FF000000"/>
        <rFont val="WenQuanYi Zen Hei"/>
        <family val="2"/>
      </rPr>
      <t xml:space="preserve">천달러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톤으로 </t>
    </r>
    <r>
      <rPr>
        <sz val="10"/>
        <color rgb="FF000000"/>
        <rFont val="맑은 고딕"/>
        <family val="0"/>
        <charset val="1"/>
      </rPr>
      <t xml:space="preserve">+42.5% </t>
    </r>
    <r>
      <rPr>
        <sz val="10"/>
        <color rgb="FF000000"/>
        <rFont val="WenQuanYi Zen Hei"/>
        <family val="2"/>
      </rPr>
      <t xml:space="preserve">올랐습니다</t>
    </r>
    <r>
      <rPr>
        <sz val="10"/>
        <color rgb="FF000000"/>
        <rFont val="맑은 고딕"/>
        <family val="0"/>
        <charset val="1"/>
      </rPr>
      <t xml:space="preserve">(6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6.499</t>
    </r>
    <r>
      <rPr>
        <sz val="10"/>
        <color rgb="FF000000"/>
        <rFont val="WenQuanYi Zen Hei"/>
        <family val="2"/>
      </rPr>
      <t xml:space="preserve">가 최고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같은 무게를 팔아 훨씬 비싼 값을 받고 있다는 뜻이고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이는 물량 증가가 아니라 고부가가치 품목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반도체</t>
    </r>
    <r>
      <rPr>
        <sz val="10"/>
        <color rgb="FF000000"/>
        <rFont val="맑은 고딕"/>
        <family val="0"/>
        <charset val="1"/>
      </rPr>
      <t xml:space="preserve">·IT</t>
    </r>
    <r>
      <rPr>
        <sz val="10"/>
        <color rgb="FF000000"/>
        <rFont val="WenQuanYi Zen Hei"/>
        <family val="2"/>
      </rPr>
      <t xml:space="preserve">부품 등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으로의 구성 변화가 성장을 만들었음을 보여줍니다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</si>
  <si>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수입 단가도 </t>
    </r>
    <r>
      <rPr>
        <sz val="10"/>
        <color rgb="FF000000"/>
        <rFont val="맑은 고딕"/>
        <family val="0"/>
        <charset val="1"/>
      </rPr>
      <t xml:space="preserve">1.143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1.341</t>
    </r>
    <r>
      <rPr>
        <sz val="10"/>
        <color rgb="FF000000"/>
        <rFont val="WenQuanYi Zen Hei"/>
        <family val="2"/>
      </rPr>
      <t xml:space="preserve">로 올랐지만</t>
    </r>
    <r>
      <rPr>
        <sz val="10"/>
        <color rgb="FF000000"/>
        <rFont val="맑은 고딕"/>
        <family val="0"/>
        <charset val="1"/>
      </rPr>
      <t xml:space="preserve">(+17.3%) </t>
    </r>
    <r>
      <rPr>
        <sz val="10"/>
        <color rgb="FF000000"/>
        <rFont val="WenQuanYi Zen Hei"/>
        <family val="2"/>
      </rPr>
      <t xml:space="preserve">상승 폭이 작아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순상품교역조건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수출단가</t>
    </r>
    <r>
      <rPr>
        <sz val="10"/>
        <color rgb="FF000000"/>
        <rFont val="맑은 고딕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수입단가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3.441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4.178</t>
    </r>
    <r>
      <rPr>
        <sz val="10"/>
        <color rgb="FF000000"/>
        <rFont val="WenQuanYi Zen Hei"/>
        <family val="2"/>
      </rPr>
      <t xml:space="preserve">배로 개선되었습니다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같은 물량을 팔아 더 많은 수입 물량을 감당할 수 있게 되었다는 뜻이며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이것이 흑자 확대의 구조적 배경입니다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</si>
  <si>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다만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월에는 수출 단가가 </t>
    </r>
    <r>
      <rPr>
        <sz val="10"/>
        <color rgb="FF000000"/>
        <rFont val="맑은 고딕"/>
        <family val="0"/>
        <charset val="1"/>
      </rPr>
      <t xml:space="preserve">6.499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5.603</t>
    </r>
    <r>
      <rPr>
        <sz val="10"/>
        <color rgb="FF000000"/>
        <rFont val="WenQuanYi Zen Hei"/>
        <family val="2"/>
      </rPr>
      <t xml:space="preserve">으로 −</t>
    </r>
    <r>
      <rPr>
        <sz val="10"/>
        <color rgb="FF000000"/>
        <rFont val="맑은 고딕"/>
        <family val="0"/>
        <charset val="1"/>
      </rPr>
      <t xml:space="preserve">13.8% </t>
    </r>
    <r>
      <rPr>
        <sz val="10"/>
        <color rgb="FF000000"/>
        <rFont val="WenQuanYi Zen Hei"/>
        <family val="2"/>
      </rPr>
      <t xml:space="preserve">떨어졌고 교역조건도 </t>
    </r>
    <r>
      <rPr>
        <sz val="10"/>
        <color rgb="FF000000"/>
        <rFont val="맑은 고딕"/>
        <family val="0"/>
        <charset val="1"/>
      </rPr>
      <t xml:space="preserve">4.298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4.178</t>
    </r>
    <r>
      <rPr>
        <sz val="10"/>
        <color rgb="FF000000"/>
        <rFont val="WenQuanYi Zen Hei"/>
        <family val="2"/>
      </rPr>
      <t xml:space="preserve">로 낮아졌습니다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단가로 벌어온 흑자는 단가가 되돌아설 때 같은 속도로 줄어듭니다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</si>
  <si>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5. </t>
    </r>
    <r>
      <rPr>
        <b val="true"/>
        <sz val="11"/>
        <color rgb="FF1F3864"/>
        <rFont val="WenQuanYi Zen Hei"/>
        <family val="2"/>
      </rPr>
      <t xml:space="preserve">품목별 — 사실상 </t>
    </r>
    <r>
      <rPr>
        <b val="true"/>
        <sz val="11"/>
        <color rgb="FF1F3864"/>
        <rFont val="맑은 고딕"/>
        <family val="0"/>
        <charset val="1"/>
      </rPr>
      <t xml:space="preserve">IT </t>
    </r>
    <r>
      <rPr>
        <b val="true"/>
        <sz val="11"/>
        <color rgb="FF1F3864"/>
        <rFont val="WenQuanYi Zen Hei"/>
        <family val="2"/>
      </rPr>
      <t xml:space="preserve">한 축이 전체를 움직였습니다</t>
    </r>
  </si>
  <si>
    <r>
      <rPr>
        <sz val="10"/>
        <color rgb="FF000000"/>
        <rFont val="맑은 고딕"/>
        <family val="0"/>
        <charset val="1"/>
      </rPr>
      <t xml:space="preserve">· 1</t>
    </r>
    <r>
      <rPr>
        <sz val="10"/>
        <color rgb="FF000000"/>
        <rFont val="WenQuanYi Zen Hei"/>
        <family val="2"/>
      </rPr>
      <t xml:space="preserve">월→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수출 증가분 </t>
    </r>
    <r>
      <rPr>
        <sz val="10"/>
        <color rgb="FF000000"/>
        <rFont val="맑은 고딕"/>
        <family val="0"/>
        <charset val="1"/>
      </rPr>
      <t xml:space="preserve">331.2</t>
    </r>
    <r>
      <rPr>
        <sz val="10"/>
        <color rgb="FF000000"/>
        <rFont val="WenQuanYi Zen Hei"/>
        <family val="2"/>
      </rPr>
      <t xml:space="preserve">억 달러 가운데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 한 품목이 </t>
    </r>
    <r>
      <rPr>
        <sz val="10"/>
        <color rgb="FF000000"/>
        <rFont val="맑은 고딕"/>
        <family val="0"/>
        <charset val="1"/>
      </rPr>
      <t xml:space="preserve">206.4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(62.3%)</t>
    </r>
    <r>
      <rPr>
        <sz val="10"/>
        <color rgb="FF000000"/>
        <rFont val="WenQuanYi Zen Hei"/>
        <family val="2"/>
      </rPr>
      <t xml:space="preserve">를 만들었습니다</t>
    </r>
    <r>
      <rPr>
        <sz val="10"/>
        <color rgb="FF000000"/>
        <rFont val="맑은 고딕"/>
        <family val="0"/>
        <charset val="1"/>
      </rPr>
      <t xml:space="preserve">. IT</t>
    </r>
    <r>
      <rPr>
        <sz val="10"/>
        <color rgb="FF000000"/>
        <rFont val="WenQuanYi Zen Hei"/>
        <family val="2"/>
      </rPr>
      <t xml:space="preserve">제품</t>
    </r>
    <r>
      <rPr>
        <sz val="10"/>
        <color rgb="FF000000"/>
        <rFont val="맑은 고딕"/>
        <family val="0"/>
        <charset val="1"/>
      </rPr>
      <t xml:space="preserve">(32.4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9.8%)</t>
    </r>
    <r>
      <rPr>
        <sz val="10"/>
        <color rgb="FF000000"/>
        <rFont val="WenQuanYi Zen Hei"/>
        <family val="2"/>
      </rPr>
      <t xml:space="preserve">까지 더하면 </t>
    </r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두 품목이 증가분의 </t>
    </r>
    <r>
      <rPr>
        <sz val="10"/>
        <color rgb="FF000000"/>
        <rFont val="맑은 고딕"/>
        <family val="0"/>
        <charset val="1"/>
      </rPr>
      <t xml:space="preserve">72%</t>
    </r>
    <r>
      <rPr>
        <sz val="10"/>
        <color rgb="FF000000"/>
        <rFont val="WenQuanYi Zen Hei"/>
        <family val="2"/>
      </rPr>
      <t xml:space="preserve">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성질별로 보면 같은 현상이 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전자제품 </t>
    </r>
    <r>
      <rPr>
        <sz val="10"/>
        <color rgb="FF000000"/>
        <rFont val="맑은 고딕"/>
        <family val="0"/>
        <charset val="1"/>
      </rPr>
      <t xml:space="preserve">+244.7</t>
    </r>
    <r>
      <rPr>
        <sz val="10"/>
        <color rgb="FF000000"/>
        <rFont val="WenQuanYi Zen Hei"/>
        <family val="2"/>
      </rPr>
      <t xml:space="preserve">억 달러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증가분의 </t>
    </r>
    <r>
      <rPr>
        <sz val="10"/>
        <color rgb="FF000000"/>
        <rFont val="맑은 고딕"/>
        <family val="0"/>
        <charset val="1"/>
      </rPr>
      <t xml:space="preserve">73.9%)</t>
    </r>
    <r>
      <rPr>
        <sz val="10"/>
        <color rgb="FF000000"/>
        <rFont val="WenQuanYi Zen Hei"/>
        <family val="2"/>
      </rPr>
      <t xml:space="preserve">로 나타납니다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</si>
  <si>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그 결과 수출에서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+IT</t>
    </r>
    <r>
      <rPr>
        <sz val="10"/>
        <color rgb="FF000000"/>
        <rFont val="WenQuanYi Zen Hei"/>
        <family val="2"/>
      </rPr>
      <t xml:space="preserve">제품이 차지하는 비중은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40.9%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51.3%</t>
    </r>
    <r>
      <rPr>
        <sz val="10"/>
        <color rgb="FF000000"/>
        <rFont val="WenQuanYi Zen Hei"/>
        <family val="2"/>
      </rPr>
      <t xml:space="preserve">로 올랐고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자본재 전체 비중은 </t>
    </r>
    <r>
      <rPr>
        <sz val="10"/>
        <color rgb="FF000000"/>
        <rFont val="맑은 고딕"/>
        <family val="0"/>
        <charset val="1"/>
      </rPr>
      <t xml:space="preserve">63.5%</t>
    </r>
    <r>
      <rPr>
        <sz val="10"/>
        <color rgb="FF000000"/>
        <rFont val="WenQuanYi Zen Hei"/>
        <family val="2"/>
      </rPr>
      <t xml:space="preserve">에서 </t>
    </r>
    <r>
      <rPr>
        <sz val="10"/>
        <color rgb="FF000000"/>
        <rFont val="맑은 고딕"/>
        <family val="0"/>
        <charset val="1"/>
      </rPr>
      <t xml:space="preserve">70.0%</t>
    </r>
    <r>
      <rPr>
        <sz val="10"/>
        <color rgb="FF000000"/>
        <rFont val="WenQuanYi Zen Hei"/>
        <family val="2"/>
      </rPr>
      <t xml:space="preserve">가 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 포트폴리오가 눈에 띄게 </t>
    </r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쪽으로 쏠렸습니다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</si>
  <si>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7</t>
    </r>
    <r>
      <rPr>
        <sz val="10"/>
        <color rgb="FF000000"/>
        <rFont val="WenQuanYi Zen Hei"/>
        <family val="2"/>
      </rPr>
      <t xml:space="preserve">월 감소도 같은 품목이 만들었습니다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 전월비 감소액의 대부분은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</t>
    </r>
    <r>
      <rPr>
        <sz val="10"/>
        <color rgb="FF000000"/>
        <rFont val="맑은 고딕"/>
        <family val="0"/>
        <charset val="1"/>
      </rPr>
      <t xml:space="preserve">(−37.1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−8.0%)</t>
    </r>
    <r>
      <rPr>
        <sz val="10"/>
        <color rgb="FF000000"/>
        <rFont val="WenQuanYi Zen Hei"/>
        <family val="2"/>
      </rPr>
      <t xml:space="preserve">과 전기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전자제품</t>
    </r>
    <r>
      <rPr>
        <sz val="10"/>
        <color rgb="FF000000"/>
        <rFont val="맑은 고딕"/>
        <family val="0"/>
        <charset val="1"/>
      </rPr>
      <t xml:space="preserve">(−38.2</t>
    </r>
    <r>
      <rPr>
        <sz val="10"/>
        <color rgb="FF000000"/>
        <rFont val="WenQuanYi Zen Hei"/>
        <family val="2"/>
      </rPr>
      <t xml:space="preserve">억</t>
    </r>
    <r>
      <rPr>
        <sz val="10"/>
        <color rgb="FF000000"/>
        <rFont val="맑은 고딕"/>
        <family val="0"/>
        <charset val="1"/>
      </rPr>
      <t xml:space="preserve">, −6.7%)</t>
    </r>
    <r>
      <rPr>
        <sz val="10"/>
        <color rgb="FF000000"/>
        <rFont val="WenQuanYi Zen Hei"/>
        <family val="2"/>
      </rPr>
      <t xml:space="preserve">이고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여기에 귀금속및보석류</t>
    </r>
    <r>
      <rPr>
        <sz val="10"/>
        <color rgb="FF000000"/>
        <rFont val="맑은 고딕"/>
        <family val="0"/>
        <charset val="1"/>
      </rPr>
      <t xml:space="preserve">(−26.9%)</t>
    </r>
    <r>
      <rPr>
        <sz val="10"/>
        <color rgb="FF000000"/>
        <rFont val="WenQuanYi Zen Hei"/>
        <family val="2"/>
      </rPr>
      <t xml:space="preserve">가 더해졌습니다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반대로 목제품</t>
    </r>
    <r>
      <rPr>
        <sz val="10"/>
        <color rgb="FF000000"/>
        <rFont val="맑은 고딕"/>
        <family val="0"/>
        <charset val="1"/>
      </rPr>
      <t xml:space="preserve">(+17.3%), </t>
    </r>
    <r>
      <rPr>
        <sz val="10"/>
        <color rgb="FF000000"/>
        <rFont val="WenQuanYi Zen Hei"/>
        <family val="2"/>
      </rPr>
      <t xml:space="preserve">철강제품</t>
    </r>
    <r>
      <rPr>
        <sz val="10"/>
        <color rgb="FF000000"/>
        <rFont val="맑은 고딕"/>
        <family val="0"/>
        <charset val="1"/>
      </rPr>
      <t xml:space="preserve">(+7.1%), </t>
    </r>
    <r>
      <rPr>
        <sz val="10"/>
        <color rgb="FF000000"/>
        <rFont val="WenQuanYi Zen Hei"/>
        <family val="2"/>
      </rPr>
      <t xml:space="preserve">기계류와정밀기기</t>
    </r>
    <r>
      <rPr>
        <sz val="10"/>
        <color rgb="FF000000"/>
        <rFont val="맑은 고딕"/>
        <family val="0"/>
        <charset val="1"/>
      </rPr>
      <t xml:space="preserve">(+4.8%), </t>
    </r>
    <r>
      <rPr>
        <sz val="10"/>
        <color rgb="FF000000"/>
        <rFont val="WenQuanYi Zen Hei"/>
        <family val="2"/>
      </rPr>
      <t xml:space="preserve">직물</t>
    </r>
    <r>
      <rPr>
        <sz val="10"/>
        <color rgb="FF000000"/>
        <rFont val="맑은 고딕"/>
        <family val="0"/>
        <charset val="1"/>
      </rPr>
      <t xml:space="preserve">(+5.7%)</t>
    </r>
    <r>
      <rPr>
        <sz val="10"/>
        <color rgb="FF000000"/>
        <rFont val="WenQuanYi Zen Hei"/>
        <family val="2"/>
      </rPr>
      <t xml:space="preserve">은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월에도 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즉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월 조정은 전방위 부진이 아니라 </t>
    </r>
    <r>
      <rPr>
        <sz val="10"/>
        <color rgb="FF000000"/>
        <rFont val="맑은 고딕"/>
        <family val="0"/>
        <charset val="1"/>
      </rPr>
      <t xml:space="preserve">IT·</t>
    </r>
    <r>
      <rPr>
        <sz val="10"/>
        <color rgb="FF000000"/>
        <rFont val="WenQuanYi Zen Hei"/>
        <family val="2"/>
      </rPr>
      <t xml:space="preserve">귀금속에 국한된 조정입니다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</si>
  <si>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변동성이 큰 품목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귀금속및보석류는 월별 증감률이 −</t>
    </r>
    <r>
      <rPr>
        <sz val="10"/>
        <color rgb="FF000000"/>
        <rFont val="맑은 고딕"/>
        <family val="0"/>
        <charset val="1"/>
      </rPr>
      <t xml:space="preserve">26.9%~+54.6%</t>
    </r>
    <r>
      <rPr>
        <sz val="10"/>
        <color rgb="FF000000"/>
        <rFont val="WenQuanYi Zen Hei"/>
        <family val="2"/>
      </rPr>
      <t xml:space="preserve">로 요동칩니다</t>
    </r>
    <r>
      <rPr>
        <sz val="10"/>
        <color rgb="FF000000"/>
        <rFont val="맑은 고딕"/>
        <family val="0"/>
        <charset val="1"/>
      </rPr>
      <t xml:space="preserve">(3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15.4</t>
    </r>
    <r>
      <rPr>
        <sz val="10"/>
        <color rgb="FF000000"/>
        <rFont val="WenQuanYi Zen Hei"/>
        <family val="2"/>
      </rPr>
      <t xml:space="preserve">억 달러로 급등 후 등락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기타 원자재는 −</t>
    </r>
    <r>
      <rPr>
        <sz val="10"/>
        <color rgb="FF000000"/>
        <rFont val="맑은 고딕"/>
        <family val="0"/>
        <charset val="1"/>
      </rPr>
      <t xml:space="preserve">61%~+274%</t>
    </r>
    <r>
      <rPr>
        <sz val="10"/>
        <color rgb="FF000000"/>
        <rFont val="WenQuanYi Zen Hei"/>
        <family val="2"/>
      </rPr>
      <t xml:space="preserve">로 더 심하지만 금액 규모가 작아 총액에는 영향이 미미합니다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광산물은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월에 </t>
    </r>
    <r>
      <rPr>
        <sz val="10"/>
        <color rgb="FF000000"/>
        <rFont val="맑은 고딕"/>
        <family val="0"/>
        <charset val="1"/>
      </rPr>
      <t xml:space="preserve">+50.9% </t>
    </r>
    <r>
      <rPr>
        <sz val="10"/>
        <color rgb="FF000000"/>
        <rFont val="WenQuanYi Zen Hei"/>
        <family val="2"/>
      </rPr>
      <t xml:space="preserve">급등했습니다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</si>
  <si>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꾸준한 품목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가죽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고무및신발류</t>
    </r>
    <r>
      <rPr>
        <sz val="10"/>
        <color rgb="FF000000"/>
        <rFont val="맑은 고딕"/>
        <family val="0"/>
        <charset val="1"/>
      </rPr>
      <t xml:space="preserve">(1→7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+20.8%, 6</t>
    </r>
    <r>
      <rPr>
        <sz val="10"/>
        <color rgb="FF000000"/>
        <rFont val="WenQuanYi Zen Hei"/>
        <family val="2"/>
      </rPr>
      <t xml:space="preserve">개월 중 </t>
    </r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개월 상승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기계류</t>
    </r>
    <r>
      <rPr>
        <sz val="10"/>
        <color rgb="FF000000"/>
        <rFont val="맑은 고딕"/>
        <family val="0"/>
        <charset val="1"/>
      </rPr>
      <t xml:space="preserve">(+27.4%), </t>
    </r>
    <r>
      <rPr>
        <sz val="10"/>
        <color rgb="FF000000"/>
        <rFont val="WenQuanYi Zen Hei"/>
        <family val="2"/>
      </rPr>
      <t xml:space="preserve">화학공업제품</t>
    </r>
    <r>
      <rPr>
        <sz val="10"/>
        <color rgb="FF000000"/>
        <rFont val="맑은 고딕"/>
        <family val="0"/>
        <charset val="1"/>
      </rPr>
      <t xml:space="preserve">(+21.5%)</t>
    </r>
    <r>
      <rPr>
        <sz val="10"/>
        <color rgb="FF000000"/>
        <rFont val="WenQuanYi Zen Hei"/>
        <family val="2"/>
      </rPr>
      <t xml:space="preserve">은 큰 등락 없이 우상향했습니다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소비재는 </t>
    </r>
    <r>
      <rPr>
        <sz val="10"/>
        <color rgb="FF000000"/>
        <rFont val="맑은 고딕"/>
        <family val="0"/>
        <charset val="1"/>
      </rPr>
      <t xml:space="preserve">+14.0%</t>
    </r>
    <r>
      <rPr>
        <sz val="10"/>
        <color rgb="FF000000"/>
        <rFont val="WenQuanYi Zen Hei"/>
        <family val="2"/>
      </rPr>
      <t xml:space="preserve">로 완만해</t>
    </r>
    <r>
      <rPr>
        <sz val="10"/>
        <color rgb="FF000000"/>
        <rFont val="맑은 고딕"/>
        <family val="0"/>
        <charset val="1"/>
      </rPr>
      <t xml:space="preserve">, IT </t>
    </r>
    <r>
      <rPr>
        <sz val="10"/>
        <color rgb="FF000000"/>
        <rFont val="WenQuanYi Zen Hei"/>
        <family val="2"/>
      </rPr>
      <t xml:space="preserve">붐이 소비재 수출까지 끌어올리지는 않았습니다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</si>
  <si>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6. </t>
    </r>
    <r>
      <rPr>
        <b val="true"/>
        <sz val="11"/>
        <color rgb="FF1F3864"/>
        <rFont val="WenQuanYi Zen Hei"/>
        <family val="2"/>
      </rPr>
      <t xml:space="preserve">이 분석이 갖는 의미</t>
    </r>
  </si>
  <si>
    <r>
      <rPr>
        <sz val="10"/>
        <color rgb="FF000000"/>
        <rFont val="맑은 고딕"/>
        <family val="0"/>
        <charset val="1"/>
      </rPr>
      <t xml:space="preserve">· ① </t>
    </r>
    <r>
      <rPr>
        <sz val="10"/>
        <color rgb="FF000000"/>
        <rFont val="WenQuanYi Zen Hei"/>
        <family val="2"/>
      </rPr>
      <t xml:space="preserve">집중 리스크가 실체화되었습니다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수출의 절반이 </t>
    </r>
    <r>
      <rPr>
        <sz val="10"/>
        <color rgb="FF000000"/>
        <rFont val="맑은 고딕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두 품목에서 나옵니다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이 구조에서는 반도체</t>
    </r>
    <r>
      <rPr>
        <sz val="10"/>
        <color rgb="FF000000"/>
        <rFont val="맑은 고딕"/>
        <family val="0"/>
        <charset val="1"/>
      </rPr>
      <t xml:space="preserve">·IT </t>
    </r>
    <r>
      <rPr>
        <sz val="10"/>
        <color rgb="FF000000"/>
        <rFont val="WenQuanYi Zen Hei"/>
        <family val="2"/>
      </rPr>
      <t xml:space="preserve">사이클이 곧 국가 수출 사이클이며</t>
    </r>
    <r>
      <rPr>
        <sz val="10"/>
        <color rgb="FF000000"/>
        <rFont val="맑은 고딕"/>
        <family val="0"/>
        <charset val="1"/>
      </rPr>
      <t xml:space="preserve">, 7</t>
    </r>
    <r>
      <rPr>
        <sz val="10"/>
        <color rgb="FF000000"/>
        <rFont val="WenQuanYi Zen Hei"/>
        <family val="2"/>
      </rPr>
      <t xml:space="preserve">월의 −</t>
    </r>
    <r>
      <rPr>
        <sz val="10"/>
        <color rgb="FF000000"/>
        <rFont val="맑은 고딕"/>
        <family val="0"/>
        <charset val="1"/>
      </rPr>
      <t xml:space="preserve">8% </t>
    </r>
    <r>
      <rPr>
        <sz val="10"/>
        <color rgb="FF000000"/>
        <rFont val="WenQuanYi Zen Hei"/>
        <family val="2"/>
      </rPr>
      <t xml:space="preserve">조정이 일시적 재고조정인지 사이클 전환인지가 하반기 최대 변수입니다</t>
    </r>
    <r>
      <rPr>
        <sz val="10"/>
        <color rgb="FF000000"/>
        <rFont val="맑은 고딕"/>
        <family val="0"/>
        <charset val="1"/>
      </rPr>
      <t xml:space="preserve">. 8</t>
    </r>
    <r>
      <rPr>
        <sz val="10"/>
        <color rgb="FF000000"/>
        <rFont val="WenQuanYi Zen Hei"/>
        <family val="2"/>
      </rPr>
      <t xml:space="preserve">월 이후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 증감률 하나만 봐도 전체 방향을 상당 부분 예측할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</si>
  <si>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② </t>
    </r>
    <r>
      <rPr>
        <sz val="10"/>
        <color rgb="FF000000"/>
        <rFont val="WenQuanYi Zen Hei"/>
        <family val="2"/>
      </rPr>
      <t xml:space="preserve">흑자의 질을 구분해야 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지금의 흑자는 수출 물량이 늘어서가 아니라 단가가 올라서 생겼습니다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물량 </t>
    </r>
    <r>
      <rPr>
        <sz val="10"/>
        <color rgb="FF000000"/>
        <rFont val="맑은 고딕"/>
        <family val="0"/>
        <charset val="1"/>
      </rPr>
      <t xml:space="preserve">+5.5% vs </t>
    </r>
    <r>
      <rPr>
        <sz val="10"/>
        <color rgb="FF000000"/>
        <rFont val="WenQuanYi Zen Hei"/>
        <family val="2"/>
      </rPr>
      <t xml:space="preserve">금액 </t>
    </r>
    <r>
      <rPr>
        <sz val="10"/>
        <color rgb="FF000000"/>
        <rFont val="맑은 고딕"/>
        <family val="0"/>
        <charset val="1"/>
      </rPr>
      <t xml:space="preserve">+50.3%). </t>
    </r>
    <r>
      <rPr>
        <sz val="10"/>
        <color rgb="FF000000"/>
        <rFont val="WenQuanYi Zen Hei"/>
        <family val="2"/>
      </rPr>
      <t xml:space="preserve">가격이 정상화되면 물량이 그대로여도 흑자는 빠르게 줄어듭니다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월에 이미 단가 −</t>
    </r>
    <r>
      <rPr>
        <sz val="10"/>
        <color rgb="FF000000"/>
        <rFont val="맑은 고딕"/>
        <family val="0"/>
        <charset val="1"/>
      </rPr>
      <t xml:space="preserve">13.8%</t>
    </r>
    <r>
      <rPr>
        <sz val="10"/>
        <color rgb="FF000000"/>
        <rFont val="WenQuanYi Zen Hei"/>
        <family val="2"/>
      </rPr>
      <t xml:space="preserve">와 함께 흑자가 </t>
    </r>
    <r>
      <rPr>
        <sz val="10"/>
        <color rgb="FF000000"/>
        <rFont val="맑은 고딕"/>
        <family val="0"/>
        <charset val="1"/>
      </rPr>
      <t xml:space="preserve">359</t>
    </r>
    <r>
      <rPr>
        <sz val="10"/>
        <color rgb="FF000000"/>
        <rFont val="WenQuanYi Zen Hei"/>
        <family val="2"/>
      </rPr>
      <t xml:space="preserve">억→</t>
    </r>
    <r>
      <rPr>
        <sz val="10"/>
        <color rgb="FF000000"/>
        <rFont val="맑은 고딕"/>
        <family val="0"/>
        <charset val="1"/>
      </rPr>
      <t xml:space="preserve">304</t>
    </r>
    <r>
      <rPr>
        <sz val="10"/>
        <color rgb="FF000000"/>
        <rFont val="WenQuanYi Zen Hei"/>
        <family val="2"/>
      </rPr>
      <t xml:space="preserve">억 달러로 줄어든 것이 그 예고편입니다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</si>
  <si>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③ </t>
    </r>
    <r>
      <rPr>
        <sz val="10"/>
        <color rgb="FF000000"/>
        <rFont val="WenQuanYi Zen Hei"/>
        <family val="2"/>
      </rPr>
      <t xml:space="preserve">수입 쪽에는 우호적인 신호가 있습니다</t>
    </r>
    <r>
      <rPr>
        <sz val="10"/>
        <color rgb="FF000000"/>
        <rFont val="맑은 고딕"/>
        <family val="0"/>
        <charset val="1"/>
      </rPr>
      <t xml:space="preserve">. 7</t>
    </r>
    <r>
      <rPr>
        <sz val="10"/>
        <color rgb="FF000000"/>
        <rFont val="WenQuanYi Zen Hei"/>
        <family val="2"/>
      </rPr>
      <t xml:space="preserve">월 수입 중량은 </t>
    </r>
    <r>
      <rPr>
        <sz val="10"/>
        <color rgb="FF000000"/>
        <rFont val="맑은 고딕"/>
        <family val="0"/>
        <charset val="1"/>
      </rPr>
      <t xml:space="preserve">5,114</t>
    </r>
    <r>
      <rPr>
        <sz val="10"/>
        <color rgb="FF000000"/>
        <rFont val="WenQuanYi Zen Hei"/>
        <family val="2"/>
      </rPr>
      <t xml:space="preserve">만 톤으로 </t>
    </r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개월 중 최대</t>
    </r>
    <r>
      <rPr>
        <sz val="10"/>
        <color rgb="FF000000"/>
        <rFont val="맑은 고딕"/>
        <family val="0"/>
        <charset val="1"/>
      </rPr>
      <t xml:space="preserve">(+17.1%)</t>
    </r>
    <r>
      <rPr>
        <sz val="10"/>
        <color rgb="FF000000"/>
        <rFont val="WenQuanYi Zen Hei"/>
        <family val="2"/>
      </rPr>
      <t xml:space="preserve">였는데 수입 금액은 </t>
    </r>
    <r>
      <rPr>
        <sz val="10"/>
        <color rgb="FF000000"/>
        <rFont val="맑은 고딕"/>
        <family val="0"/>
        <charset val="1"/>
      </rPr>
      <t xml:space="preserve">+3.8%</t>
    </r>
    <r>
      <rPr>
        <sz val="10"/>
        <color rgb="FF000000"/>
        <rFont val="WenQuanYi Zen Hei"/>
        <family val="2"/>
      </rPr>
      <t xml:space="preserve">만 늘었습니다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수입 단가가 −</t>
    </r>
    <r>
      <rPr>
        <sz val="10"/>
        <color rgb="FF000000"/>
        <rFont val="맑은 고딕"/>
        <family val="0"/>
        <charset val="1"/>
      </rPr>
      <t xml:space="preserve">11.3% </t>
    </r>
    <r>
      <rPr>
        <sz val="10"/>
        <color rgb="FF000000"/>
        <rFont val="WenQuanYi Zen Hei"/>
        <family val="2"/>
      </rPr>
      <t xml:space="preserve">떨어졌다는 뜻이고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원자재를 더 싸게 더 많이 들여왔다는 의미입니다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원자재 투입 비용 하락은 통상 </t>
    </r>
    <r>
      <rPr>
        <sz val="10"/>
        <color rgb="FF000000"/>
        <rFont val="맑은 고딕"/>
        <family val="0"/>
        <charset val="1"/>
      </rPr>
      <t xml:space="preserve">1~2</t>
    </r>
    <r>
      <rPr>
        <sz val="10"/>
        <color rgb="FF000000"/>
        <rFont val="WenQuanYi Zen Hei"/>
        <family val="2"/>
      </rPr>
      <t xml:space="preserve">분기 뒤 수출 마진에 우호적으로 작용합니다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</si>
  <si>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④ </t>
    </r>
    <r>
      <rPr>
        <sz val="10"/>
        <color rgb="FF000000"/>
        <rFont val="WenQuanYi Zen Hei"/>
        <family val="2"/>
      </rPr>
      <t xml:space="preserve">실무적으로 볼 지표는 네 개입니다</t>
    </r>
    <r>
      <rPr>
        <sz val="10"/>
        <color rgb="FF000000"/>
        <rFont val="맑은 고딕"/>
        <family val="0"/>
        <charset val="1"/>
      </rPr>
      <t xml:space="preserve">. IT</t>
    </r>
    <r>
      <rPr>
        <sz val="10"/>
        <color rgb="FF000000"/>
        <rFont val="WenQuanYi Zen Hei"/>
        <family val="2"/>
      </rPr>
      <t xml:space="preserve">부품 월간 증감률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방향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수출 단가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흑자의 지속성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조업일수 보정 일평균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달력 착시 제거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WenQuanYi Zen Hei"/>
        <family val="2"/>
      </rPr>
      <t xml:space="preserve">순상품교역조건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교역 채산성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2·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시트에서 매월 값만 갱신하면 그대로 추적됩니다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</si>
  <si>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7. </t>
    </r>
    <r>
      <rPr>
        <b val="true"/>
        <sz val="11"/>
        <color rgb="FF1F3864"/>
        <rFont val="WenQuanYi Zen Hei"/>
        <family val="2"/>
      </rPr>
      <t xml:space="preserve">이 분석의 한계와 확인이 필요한 부분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</si>
  <si>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전년 대비</t>
    </r>
    <r>
      <rPr>
        <sz val="10"/>
        <color rgb="FF000000"/>
        <rFont val="맑은 고딕"/>
        <family val="0"/>
        <charset val="1"/>
      </rPr>
      <t xml:space="preserve">(YoY)</t>
    </r>
    <r>
      <rPr>
        <sz val="10"/>
        <color rgb="FF000000"/>
        <rFont val="WenQuanYi Zen Hei"/>
        <family val="2"/>
      </rPr>
      <t xml:space="preserve">는 계산하지 않았습니다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업로드된 파일에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자료가 없기 때문이며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없는 값을 임의로 만들지 않았습니다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분석</t>
    </r>
    <r>
      <rPr>
        <sz val="10"/>
        <color rgb="FF000000"/>
        <rFont val="맑은 고딕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시트의 노란색 칸에 </t>
    </r>
    <r>
      <rPr>
        <sz val="10"/>
        <color rgb="FF000000"/>
        <rFont val="맑은 고딕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년 값을 붙여넣으면 전년동월비가 자동 계산됩니다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</si>
  <si>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7</t>
    </r>
    <r>
      <rPr>
        <sz val="10"/>
        <color rgb="FF000000"/>
        <rFont val="WenQuanYi Zen Hei"/>
        <family val="2"/>
      </rPr>
      <t xml:space="preserve">개월</t>
    </r>
    <r>
      <rPr>
        <sz val="10"/>
        <color rgb="FF000000"/>
        <rFont val="맑은 고딕"/>
        <family val="0"/>
        <charset val="1"/>
      </rPr>
      <t xml:space="preserve">(2026.01~07)</t>
    </r>
    <r>
      <rPr>
        <sz val="10"/>
        <color rgb="FF000000"/>
        <rFont val="WenQuanYi Zen Hei"/>
        <family val="2"/>
      </rPr>
      <t xml:space="preserve">만으로는 계절성을 분리할 수 없습니다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예컨대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월 부진은 조업일수로 설명되지만</t>
    </r>
    <r>
      <rPr>
        <sz val="10"/>
        <color rgb="FF000000"/>
        <rFont val="맑은 고딕"/>
        <family val="0"/>
        <charset val="1"/>
      </rPr>
      <t xml:space="preserve">, 3</t>
    </r>
    <r>
      <rPr>
        <sz val="10"/>
        <color rgb="FF000000"/>
        <rFont val="WenQuanYi Zen Hei"/>
        <family val="2"/>
      </rPr>
      <t xml:space="preserve">월 급등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광산물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귀금속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이 계절 요인인지 일회성인지는 전년 자료가 있어야 판별됩니다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</si>
  <si>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품목별 수입 자료가 없어 품목별 무역수지와 </t>
    </r>
    <r>
      <rPr>
        <sz val="10"/>
        <color rgb="FF000000"/>
        <rFont val="맑은 고딕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부품의 수입 의존도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중간재 수입 → 완제품 수출 구조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는 확인할 수 없습니다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필요하시면 관세청 통계에서 성질별 수입 실적을 같은 조건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수리일 기준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톤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WenQuanYi Zen Hei"/>
        <family val="2"/>
      </rPr>
      <t xml:space="preserve">으로 추가로 받아 주시면 같은 틀로 확장해 드릴 수 있습니다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</si>
  <si>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금액은 명목 달러 기준이며 환율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물가 조정이 되어 있지 않습니다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단가 상승분에는 실제 제품 가격 상승과 품목 구성 변화가 섞여 있어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이를 완전히 분리하려면 품목별 수량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개수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자료가 필요합니다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</si>
  <si>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작성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원본 파일</t>
    </r>
    <r>
      <rPr>
        <i val="true"/>
        <sz val="9"/>
        <color rgb="FF595959"/>
        <rFont val="맑은 고딕"/>
        <family val="0"/>
        <charset val="1"/>
      </rPr>
      <t xml:space="preserve">(2026.01~07 </t>
    </r>
    <r>
      <rPr>
        <i val="true"/>
        <sz val="9"/>
        <color rgb="FF595959"/>
        <rFont val="WenQuanYi Zen Hei"/>
        <family val="2"/>
      </rPr>
      <t xml:space="preserve">수출입 실적</t>
    </r>
    <r>
      <rPr>
        <i val="true"/>
        <sz val="9"/>
        <color rgb="FF595959"/>
        <rFont val="맑은 고딕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만을 근거로 산출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외부 자료를 추가로 참조하지 않았으며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전년 비교치는 자료 부재로 산출하지 않았습니다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</si>
</sst>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_ "/>
    <numFmt numFmtId="166" formatCode="#,##0.00"/>
    <numFmt numFmtId="167" formatCode="#,##0"/>
    <numFmt numFmtId="168" formatCode="#,##0.0"/>
    <numFmt numFmtId="169" formatCode="0.0%;[RED]\-0.0%;\-"/>
    <numFmt numFmtId="170" formatCode="#,##0.000"/>
    <numFmt numFmtId="171" formatCode="0.000"/>
    <numFmt numFmtId="172" formatCode="0.00%"/>
    <numFmt numFmtId="173" formatCode="0.0"/>
  </numFmts>
  <fonts count="25">
    <font>
      <sz val="11"/>
      <color rgb="FF00000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WenQuanYi Zen Hei"/>
      <family val="2"/>
    </font>
    <font>
      <sz val="11"/>
      <color rgb="FF000000"/>
      <name val="WenQuanYi Zen Hei"/>
      <family val="2"/>
    </font>
    <font>
      <b val="true"/>
      <sz val="18"/>
      <name val="Calibri"/>
      <family val="2"/>
      <charset val="1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1"/>
      <color rgb="FF008000"/>
      <name val="WenQuanYi Zen Hei"/>
      <family val="2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A5A5A5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1. 월별 수출·수입 금액과 무역수지 (2026.01~07)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분석2_월별추이!E5</c:f>
              <c:strCache>
                <c:ptCount val="1"/>
                <c:pt idx="0">
                  <c:v>수출 금액(천$)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분석2_월별추이!$E$6:$E$12</c:f>
              <c:numCache>
                <c:formatCode>#,##0</c:formatCode>
                <c:ptCount val="7"/>
                <c:pt idx="0">
                  <c:v>65843937</c:v>
                </c:pt>
                <c:pt idx="1">
                  <c:v>67642547</c:v>
                </c:pt>
                <c:pt idx="2">
                  <c:v>87333128</c:v>
                </c:pt>
                <c:pt idx="3">
                  <c:v>85751883</c:v>
                </c:pt>
                <c:pt idx="4">
                  <c:v>87576083</c:v>
                </c:pt>
                <c:pt idx="5">
                  <c:v>101956159</c:v>
                </c:pt>
                <c:pt idx="6">
                  <c:v>98959099</c:v>
                </c:pt>
              </c:numCache>
            </c:numRef>
          </c:val>
        </c:ser>
        <c:ser>
          <c:idx val="1"/>
          <c:order val="1"/>
          <c:tx>
            <c:strRef>
              <c:f>분석2_월별추이!F5</c:f>
              <c:strCache>
                <c:ptCount val="1"/>
                <c:pt idx="0">
                  <c:v>수입 금액(천$)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분석2_월별추이!$F$6:$F$12</c:f>
              <c:numCache>
                <c:formatCode>#,##0</c:formatCode>
                <c:ptCount val="7"/>
                <c:pt idx="0">
                  <c:v>57143469</c:v>
                </c:pt>
                <c:pt idx="1">
                  <c:v>51933913</c:v>
                </c:pt>
                <c:pt idx="2">
                  <c:v>60753446</c:v>
                </c:pt>
                <c:pt idx="3">
                  <c:v>62104908</c:v>
                </c:pt>
                <c:pt idx="4">
                  <c:v>60748350</c:v>
                </c:pt>
                <c:pt idx="5">
                  <c:v>66051586</c:v>
                </c:pt>
                <c:pt idx="6">
                  <c:v>68567473</c:v>
                </c:pt>
              </c:numCache>
            </c:numRef>
          </c:val>
        </c:ser>
        <c:gapWidth val="150"/>
        <c:overlap val="0"/>
        <c:axId val="38652455"/>
        <c:axId val="32704852"/>
      </c:barChart>
      <c:lineChart>
        <c:grouping val="standard"/>
        <c:varyColors val="0"/>
        <c:ser>
          <c:idx val="2"/>
          <c:order val="2"/>
          <c:tx>
            <c:strRef>
              <c:f>분석2_월별추이!G5</c:f>
              <c:strCache>
                <c:ptCount val="1"/>
                <c:pt idx="0">
                  <c:v>무역수지(천$)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분석2_월별추이!$G$6:$G$12</c:f>
              <c:numCache>
                <c:formatCode>#,##0</c:formatCode>
                <c:ptCount val="7"/>
                <c:pt idx="0">
                  <c:v>8700468</c:v>
                </c:pt>
                <c:pt idx="1">
                  <c:v>15708634</c:v>
                </c:pt>
                <c:pt idx="2">
                  <c:v>26579682</c:v>
                </c:pt>
                <c:pt idx="3">
                  <c:v>23646975</c:v>
                </c:pt>
                <c:pt idx="4">
                  <c:v>26827733</c:v>
                </c:pt>
                <c:pt idx="5">
                  <c:v>35904573</c:v>
                </c:pt>
                <c:pt idx="6">
                  <c:v>30391625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11477"/>
        <c:axId val="40010905"/>
      </c:lineChart>
      <c:catAx>
        <c:axId val="38652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04852"/>
        <c:crosses val="autoZero"/>
        <c:auto val="1"/>
        <c:lblAlgn val="ctr"/>
        <c:lblOffset val="100"/>
        <c:noMultiLvlLbl val="0"/>
      </c:catAx>
      <c:valAx>
        <c:axId val="3270485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52455"/>
        <c:crosses val="autoZero"/>
        <c:crossBetween val="between"/>
      </c:valAx>
      <c:catAx>
        <c:axId val="8151147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10905"/>
        <c:crosses val="autoZero"/>
        <c:auto val="1"/>
        <c:lblAlgn val="ctr"/>
        <c:lblOffset val="100"/>
        <c:noMultiLvlLbl val="0"/>
      </c:catAx>
      <c:valAx>
        <c:axId val="4001090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무역수지(천$)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1147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2. 조업일수 보정 — 월 수출금액 vs 일평균 수출금액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분석2_월별추이!E5</c:f>
              <c:strCache>
                <c:ptCount val="1"/>
                <c:pt idx="0">
                  <c:v>수출 금액(천$)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분석2_월별추이!$E$6:$E$12</c:f>
              <c:numCache>
                <c:formatCode>#,##0</c:formatCode>
                <c:ptCount val="7"/>
                <c:pt idx="0">
                  <c:v>65843937</c:v>
                </c:pt>
                <c:pt idx="1">
                  <c:v>67642547</c:v>
                </c:pt>
                <c:pt idx="2">
                  <c:v>87333128</c:v>
                </c:pt>
                <c:pt idx="3">
                  <c:v>85751883</c:v>
                </c:pt>
                <c:pt idx="4">
                  <c:v>87576083</c:v>
                </c:pt>
                <c:pt idx="5">
                  <c:v>101956159</c:v>
                </c:pt>
                <c:pt idx="6">
                  <c:v>98959099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077276"/>
        <c:axId val="58346465"/>
      </c:lineChart>
      <c:lineChart>
        <c:grouping val="standard"/>
        <c:varyColors val="0"/>
        <c:ser>
          <c:idx val="1"/>
          <c:order val="1"/>
          <c:tx>
            <c:strRef>
              <c:f>분석2_월별추이!K5</c:f>
              <c:strCache>
                <c:ptCount val="1"/>
                <c:pt idx="0">
                  <c:v>일평균 수출(천$)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분석2_월별추이!$K$6:$K$12</c:f>
              <c:numCache>
                <c:formatCode>#,##0</c:formatCode>
                <c:ptCount val="7"/>
                <c:pt idx="0">
                  <c:v>2801869.65957447</c:v>
                </c:pt>
                <c:pt idx="1">
                  <c:v>3560134.05263158</c:v>
                </c:pt>
                <c:pt idx="2">
                  <c:v>3797092.52173913</c:v>
                </c:pt>
                <c:pt idx="3">
                  <c:v>3572995.125</c:v>
                </c:pt>
                <c:pt idx="4">
                  <c:v>4272004.04878049</c:v>
                </c:pt>
                <c:pt idx="5">
                  <c:v>4531384.84444444</c:v>
                </c:pt>
                <c:pt idx="6">
                  <c:v>4123295.79166667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840708"/>
        <c:axId val="10541023"/>
      </c:lineChart>
      <c:catAx>
        <c:axId val="990772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46465"/>
        <c:crosses val="autoZero"/>
        <c:auto val="1"/>
        <c:lblAlgn val="ctr"/>
        <c:lblOffset val="100"/>
        <c:noMultiLvlLbl val="0"/>
      </c:catAx>
      <c:valAx>
        <c:axId val="5834646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 수출금액(천달러)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77276"/>
        <c:crosses val="autoZero"/>
        <c:crossBetween val="between"/>
      </c:valAx>
      <c:catAx>
        <c:axId val="5484070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41023"/>
        <c:crosses val="autoZero"/>
        <c:auto val="1"/>
        <c:lblAlgn val="ctr"/>
        <c:lblOffset val="100"/>
        <c:noMultiLvlLbl val="0"/>
      </c:catAx>
      <c:valAx>
        <c:axId val="1054102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일평균(천$)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4070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3. 성질별 대분류 구성비 추이 (월별 수출금액 100% 기준)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분석3_품목별증감!B7</c:f>
              <c:strCache>
                <c:ptCount val="1"/>
                <c:pt idx="0">
                  <c:v>1.식료및직접소비재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분석3_품목별증감!$C$7:$I$7</c:f>
              <c:numCache>
                <c:formatCode>#,##0</c:formatCode>
                <c:ptCount val="7"/>
                <c:pt idx="0">
                  <c:v>1018552</c:v>
                </c:pt>
                <c:pt idx="1">
                  <c:v>926368</c:v>
                </c:pt>
                <c:pt idx="2">
                  <c:v>1169585</c:v>
                </c:pt>
                <c:pt idx="3">
                  <c:v>1206533</c:v>
                </c:pt>
                <c:pt idx="4">
                  <c:v>1061105</c:v>
                </c:pt>
                <c:pt idx="5">
                  <c:v>1152581</c:v>
                </c:pt>
                <c:pt idx="6">
                  <c:v>1081841</c:v>
                </c:pt>
              </c:numCache>
            </c:numRef>
          </c:val>
        </c:ser>
        <c:ser>
          <c:idx val="1"/>
          <c:order val="1"/>
          <c:tx>
            <c:strRef>
              <c:f>분석3_품목별증감!B8</c:f>
              <c:strCache>
                <c:ptCount val="1"/>
                <c:pt idx="0">
                  <c:v>2.원료및연료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분석3_품목별증감!$C$8:$I$8</c:f>
              <c:numCache>
                <c:formatCode>#,##0</c:formatCode>
                <c:ptCount val="7"/>
                <c:pt idx="0">
                  <c:v>4654223</c:v>
                </c:pt>
                <c:pt idx="1">
                  <c:v>4914885</c:v>
                </c:pt>
                <c:pt idx="2">
                  <c:v>7280697</c:v>
                </c:pt>
                <c:pt idx="3">
                  <c:v>6331952</c:v>
                </c:pt>
                <c:pt idx="4">
                  <c:v>6401394</c:v>
                </c:pt>
                <c:pt idx="5">
                  <c:v>6608418</c:v>
                </c:pt>
                <c:pt idx="6">
                  <c:v>6896402</c:v>
                </c:pt>
              </c:numCache>
            </c:numRef>
          </c:val>
        </c:ser>
        <c:ser>
          <c:idx val="2"/>
          <c:order val="2"/>
          <c:tx>
            <c:strRef>
              <c:f>분석3_품목별증감!B9</c:f>
              <c:strCache>
                <c:ptCount val="1"/>
                <c:pt idx="0">
                  <c:v>3.경공업품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분석3_품목별증감!$C$9:$I$9</c:f>
              <c:numCache>
                <c:formatCode>#,##0</c:formatCode>
                <c:ptCount val="7"/>
                <c:pt idx="0">
                  <c:v>3082056</c:v>
                </c:pt>
                <c:pt idx="1">
                  <c:v>3096567</c:v>
                </c:pt>
                <c:pt idx="2">
                  <c:v>4111292</c:v>
                </c:pt>
                <c:pt idx="3">
                  <c:v>3895477</c:v>
                </c:pt>
                <c:pt idx="4">
                  <c:v>3869333</c:v>
                </c:pt>
                <c:pt idx="5">
                  <c:v>4060373</c:v>
                </c:pt>
                <c:pt idx="6">
                  <c:v>3778039</c:v>
                </c:pt>
              </c:numCache>
            </c:numRef>
          </c:val>
        </c:ser>
        <c:ser>
          <c:idx val="3"/>
          <c:order val="3"/>
          <c:tx>
            <c:strRef>
              <c:f>분석3_품목별증감!B21</c:f>
              <c:strCache>
                <c:ptCount val="1"/>
                <c:pt idx="0">
                  <c:v>4.중화학공업품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분석3_품목별증감!$C$21:$I$21</c:f>
              <c:numCache>
                <c:formatCode>#,##0</c:formatCode>
                <c:ptCount val="7"/>
                <c:pt idx="0">
                  <c:v>57089106</c:v>
                </c:pt>
                <c:pt idx="1">
                  <c:v>58704727</c:v>
                </c:pt>
                <c:pt idx="2">
                  <c:v>74771554</c:v>
                </c:pt>
                <c:pt idx="3">
                  <c:v>74317921</c:v>
                </c:pt>
                <c:pt idx="4">
                  <c:v>76244252</c:v>
                </c:pt>
                <c:pt idx="5">
                  <c:v>90134786</c:v>
                </c:pt>
                <c:pt idx="6">
                  <c:v>87202818</c:v>
                </c:pt>
              </c:numCache>
            </c:numRef>
          </c:val>
        </c:ser>
        <c:gapWidth val="150"/>
        <c:overlap val="100"/>
        <c:axId val="54593961"/>
        <c:axId val="29283678"/>
      </c:barChart>
      <c:catAx>
        <c:axId val="54593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기간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83678"/>
        <c:crosses val="autoZero"/>
        <c:auto val="1"/>
        <c:lblAlgn val="ctr"/>
        <c:lblOffset val="100"/>
        <c:noMultiLvlLbl val="0"/>
      </c:catAx>
      <c:valAx>
        <c:axId val="2928367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구성비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0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939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4. 신성질별 대분류(소비재·원자재·자본재) 월별 수출금액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분석3_품목별증감!B33</c:f>
              <c:strCache>
                <c:ptCount val="1"/>
                <c:pt idx="0">
                  <c:v>1.소비재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분석3_품목별증감!$C$33:$I$33</c:f>
              <c:numCache>
                <c:formatCode>#,##0</c:formatCode>
                <c:ptCount val="7"/>
                <c:pt idx="0">
                  <c:v>7671931</c:v>
                </c:pt>
                <c:pt idx="1">
                  <c:v>6598332</c:v>
                </c:pt>
                <c:pt idx="2">
                  <c:v>8402972</c:v>
                </c:pt>
                <c:pt idx="3">
                  <c:v>8692026</c:v>
                </c:pt>
                <c:pt idx="4">
                  <c:v>7818478</c:v>
                </c:pt>
                <c:pt idx="5">
                  <c:v>8762452</c:v>
                </c:pt>
                <c:pt idx="6">
                  <c:v>8749031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분석3_품목별증감!B38</c:f>
              <c:strCache>
                <c:ptCount val="1"/>
                <c:pt idx="0">
                  <c:v>2.원자재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분석3_품목별증감!$C$38:$I$38</c:f>
              <c:numCache>
                <c:formatCode>#,##0</c:formatCode>
                <c:ptCount val="7"/>
                <c:pt idx="0">
                  <c:v>16383039</c:v>
                </c:pt>
                <c:pt idx="1">
                  <c:v>16305033</c:v>
                </c:pt>
                <c:pt idx="2">
                  <c:v>20857696</c:v>
                </c:pt>
                <c:pt idx="3">
                  <c:v>20089347</c:v>
                </c:pt>
                <c:pt idx="4">
                  <c:v>19373529</c:v>
                </c:pt>
                <c:pt idx="5">
                  <c:v>20737509</c:v>
                </c:pt>
                <c:pt idx="6">
                  <c:v>20962899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분석3_품목별증감!B45</c:f>
              <c:strCache>
                <c:ptCount val="1"/>
                <c:pt idx="0">
                  <c:v>3.자본재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분석3_품목별증감!$C$45:$I$45</c:f>
              <c:numCache>
                <c:formatCode>#,##0</c:formatCode>
                <c:ptCount val="7"/>
                <c:pt idx="0">
                  <c:v>41788967</c:v>
                </c:pt>
                <c:pt idx="1">
                  <c:v>44739182</c:v>
                </c:pt>
                <c:pt idx="2">
                  <c:v>58072460</c:v>
                </c:pt>
                <c:pt idx="3">
                  <c:v>56970510</c:v>
                </c:pt>
                <c:pt idx="4">
                  <c:v>60384076</c:v>
                </c:pt>
                <c:pt idx="5">
                  <c:v>72456198</c:v>
                </c:pt>
                <c:pt idx="6">
                  <c:v>69247169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5065615"/>
        <c:axId val="10311114"/>
      </c:lineChart>
      <c:catAx>
        <c:axId val="95065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기간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11114"/>
        <c:crosses val="autoZero"/>
        <c:auto val="1"/>
        <c:lblAlgn val="ctr"/>
        <c:lblOffset val="100"/>
        <c:noMultiLvlLbl val="0"/>
      </c:catAx>
      <c:valAx>
        <c:axId val="1031111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65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5. 자본재 세부품목 월별 수출금액 — IT부품이 견인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분석3_품목별증감!B46</c:f>
              <c:strCache>
                <c:ptCount val="1"/>
                <c:pt idx="0">
                  <c:v>가.수송장비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분석3_품목별증감!$C$46:$I$46</c:f>
              <c:numCache>
                <c:formatCode>#,##0</c:formatCode>
                <c:ptCount val="7"/>
                <c:pt idx="0">
                  <c:v>6678955</c:v>
                </c:pt>
                <c:pt idx="1">
                  <c:v>5681103</c:v>
                </c:pt>
                <c:pt idx="2">
                  <c:v>7938060</c:v>
                </c:pt>
                <c:pt idx="3">
                  <c:v>7210420</c:v>
                </c:pt>
                <c:pt idx="4">
                  <c:v>6396274</c:v>
                </c:pt>
                <c:pt idx="5">
                  <c:v>7782611</c:v>
                </c:pt>
                <c:pt idx="6">
                  <c:v>8015260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분석3_품목별증감!B47</c:f>
              <c:strCache>
                <c:ptCount val="1"/>
                <c:pt idx="0">
                  <c:v>나.기계류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분석3_품목별증감!$C$47:$I$47</c:f>
              <c:numCache>
                <c:formatCode>#,##0</c:formatCode>
                <c:ptCount val="7"/>
                <c:pt idx="0">
                  <c:v>8195778</c:v>
                </c:pt>
                <c:pt idx="1">
                  <c:v>7476200</c:v>
                </c:pt>
                <c:pt idx="2">
                  <c:v>9292951</c:v>
                </c:pt>
                <c:pt idx="3">
                  <c:v>9432934</c:v>
                </c:pt>
                <c:pt idx="4">
                  <c:v>8429178</c:v>
                </c:pt>
                <c:pt idx="5">
                  <c:v>9881074</c:v>
                </c:pt>
                <c:pt idx="6">
                  <c:v>10437690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분석3_품목별증감!B48</c:f>
              <c:strCache>
                <c:ptCount val="1"/>
                <c:pt idx="0">
                  <c:v>다.IT제품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분석3_품목별증감!$C$48:$I$48</c:f>
              <c:numCache>
                <c:formatCode>#,##0</c:formatCode>
                <c:ptCount val="7"/>
                <c:pt idx="0">
                  <c:v>4797650</c:v>
                </c:pt>
                <c:pt idx="1">
                  <c:v>5117377</c:v>
                </c:pt>
                <c:pt idx="2">
                  <c:v>6460687</c:v>
                </c:pt>
                <c:pt idx="3">
                  <c:v>6821884</c:v>
                </c:pt>
                <c:pt idx="4">
                  <c:v>6917946</c:v>
                </c:pt>
                <c:pt idx="5">
                  <c:v>8325417</c:v>
                </c:pt>
                <c:pt idx="6">
                  <c:v>8032683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분석3_품목별증감!B49</c:f>
              <c:strCache>
                <c:ptCount val="1"/>
                <c:pt idx="0">
                  <c:v>라.IT부품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분석3_품목별증감!$C$32:$I$32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분석3_품목별증감!$C$49:$I$49</c:f>
              <c:numCache>
                <c:formatCode>#,##0</c:formatCode>
                <c:ptCount val="7"/>
                <c:pt idx="0">
                  <c:v>22116584</c:v>
                </c:pt>
                <c:pt idx="1">
                  <c:v>26464502</c:v>
                </c:pt>
                <c:pt idx="2">
                  <c:v>34380761</c:v>
                </c:pt>
                <c:pt idx="3">
                  <c:v>33505272</c:v>
                </c:pt>
                <c:pt idx="4">
                  <c:v>38640678</c:v>
                </c:pt>
                <c:pt idx="5">
                  <c:v>46467096</c:v>
                </c:pt>
                <c:pt idx="6">
                  <c:v>42761535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77152"/>
        <c:axId val="27193976"/>
      </c:lineChart>
      <c:catAx>
        <c:axId val="9277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기간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93976"/>
        <c:crosses val="autoZero"/>
        <c:auto val="1"/>
        <c:lblAlgn val="ctr"/>
        <c:lblOffset val="100"/>
        <c:noMultiLvlLbl val="0"/>
      </c:catAx>
      <c:valAx>
        <c:axId val="2719397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77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6. 중화학공업품 세부품목 월별 수출금액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분석3_품목별증감!B25</c:f>
              <c:strCache>
                <c:ptCount val="1"/>
                <c:pt idx="0">
                  <c:v>라.전기,전자제품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분석3_품목별증감!$C$25:$I$25</c:f>
              <c:numCache>
                <c:formatCode>#,##0</c:formatCode>
                <c:ptCount val="7"/>
                <c:pt idx="0">
                  <c:v>28840619</c:v>
                </c:pt>
                <c:pt idx="1">
                  <c:v>33394046</c:v>
                </c:pt>
                <c:pt idx="2">
                  <c:v>43273534</c:v>
                </c:pt>
                <c:pt idx="3">
                  <c:v>42506536</c:v>
                </c:pt>
                <c:pt idx="4">
                  <c:v>47618590</c:v>
                </c:pt>
                <c:pt idx="5">
                  <c:v>57127600</c:v>
                </c:pt>
                <c:pt idx="6">
                  <c:v>53312084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분석3_품목별증감!B26</c:f>
              <c:strCache>
                <c:ptCount val="1"/>
                <c:pt idx="0">
                  <c:v>마.수송장비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분석3_품목별증감!$C$26:$I$26</c:f>
              <c:numCache>
                <c:formatCode>#,##0</c:formatCode>
                <c:ptCount val="7"/>
                <c:pt idx="0">
                  <c:v>10361778</c:v>
                </c:pt>
                <c:pt idx="1">
                  <c:v>8608748</c:v>
                </c:pt>
                <c:pt idx="2">
                  <c:v>11782023</c:v>
                </c:pt>
                <c:pt idx="3">
                  <c:v>11192081</c:v>
                </c:pt>
                <c:pt idx="4">
                  <c:v>10090952</c:v>
                </c:pt>
                <c:pt idx="5">
                  <c:v>11460161</c:v>
                </c:pt>
                <c:pt idx="6">
                  <c:v>11661068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분석3_품목별증감!B24</c:f>
              <c:strCache>
                <c:ptCount val="1"/>
                <c:pt idx="0">
                  <c:v>다.기계류와정밀기기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분석3_품목별증감!$C$24:$I$24</c:f>
              <c:numCache>
                <c:formatCode>#,##0</c:formatCode>
                <c:ptCount val="7"/>
                <c:pt idx="0">
                  <c:v>5421604</c:v>
                </c:pt>
                <c:pt idx="1">
                  <c:v>4904769</c:v>
                </c:pt>
                <c:pt idx="2">
                  <c:v>6033664</c:v>
                </c:pt>
                <c:pt idx="3">
                  <c:v>6269944</c:v>
                </c:pt>
                <c:pt idx="4">
                  <c:v>5585218</c:v>
                </c:pt>
                <c:pt idx="5">
                  <c:v>6547312</c:v>
                </c:pt>
                <c:pt idx="6">
                  <c:v>6861427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분석3_품목별증감!B22</c:f>
              <c:strCache>
                <c:ptCount val="1"/>
                <c:pt idx="0">
                  <c:v>가.화공품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분석3_품목별증감!$C$22:$I$22</c:f>
              <c:numCache>
                <c:formatCode>#,##0</c:formatCode>
                <c:ptCount val="7"/>
                <c:pt idx="0">
                  <c:v>6584897</c:v>
                </c:pt>
                <c:pt idx="1">
                  <c:v>6279361</c:v>
                </c:pt>
                <c:pt idx="2">
                  <c:v>7361871</c:v>
                </c:pt>
                <c:pt idx="3">
                  <c:v>7717531</c:v>
                </c:pt>
                <c:pt idx="4">
                  <c:v>6994558</c:v>
                </c:pt>
                <c:pt idx="5">
                  <c:v>7870038</c:v>
                </c:pt>
                <c:pt idx="6">
                  <c:v>7980842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분석3_품목별증감!B23</c:f>
              <c:strCache>
                <c:ptCount val="1"/>
                <c:pt idx="0">
                  <c:v>나.철강제품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분석3_품목별증감!$C$6:$I$6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분석3_품목별증감!$C$23:$I$23</c:f>
              <c:numCache>
                <c:formatCode>#,##0</c:formatCode>
                <c:ptCount val="7"/>
                <c:pt idx="0">
                  <c:v>4072186</c:v>
                </c:pt>
                <c:pt idx="1">
                  <c:v>3678524</c:v>
                </c:pt>
                <c:pt idx="2">
                  <c:v>4107993</c:v>
                </c:pt>
                <c:pt idx="3">
                  <c:v>4322292</c:v>
                </c:pt>
                <c:pt idx="4">
                  <c:v>4041314</c:v>
                </c:pt>
                <c:pt idx="5">
                  <c:v>4351286</c:v>
                </c:pt>
                <c:pt idx="6">
                  <c:v>4661963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082023"/>
        <c:axId val="57293557"/>
      </c:lineChart>
      <c:catAx>
        <c:axId val="920820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기간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93557"/>
        <c:crosses val="autoZero"/>
        <c:auto val="1"/>
        <c:lblAlgn val="ctr"/>
        <c:lblOffset val="100"/>
        <c:noMultiLvlLbl val="0"/>
      </c:catAx>
      <c:valAx>
        <c:axId val="5729355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820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7. 신성질별 중분류 1월 대비 7월 수출금액 증감액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분석4_그래프!B12</c:f>
              <c:strCache>
                <c:ptCount val="1"/>
                <c:pt idx="0">
                  <c:v>1월→7월 증감액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분석4_그래프!$A$13:$A$26</c:f>
              <c:strCache>
                <c:ptCount val="14"/>
                <c:pt idx="0">
                  <c:v>라.IT부품</c:v>
                </c:pt>
                <c:pt idx="1">
                  <c:v>다.IT제품</c:v>
                </c:pt>
                <c:pt idx="2">
                  <c:v>다.광산물</c:v>
                </c:pt>
                <c:pt idx="3">
                  <c:v>나.기계류</c:v>
                </c:pt>
                <c:pt idx="4">
                  <c:v>마.화학공업제품</c:v>
                </c:pt>
                <c:pt idx="5">
                  <c:v>가.수송장비</c:v>
                </c:pt>
                <c:pt idx="6">
                  <c:v>라.철강 및 금속제품</c:v>
                </c:pt>
                <c:pt idx="7">
                  <c:v>나.내구소비재</c:v>
                </c:pt>
                <c:pt idx="8">
                  <c:v>다.비내구소비재</c:v>
                </c:pt>
                <c:pt idx="9">
                  <c:v>가.동식물성 연·원료</c:v>
                </c:pt>
                <c:pt idx="10">
                  <c:v>나.섬유류</c:v>
                </c:pt>
                <c:pt idx="11">
                  <c:v>가.직접소비재</c:v>
                </c:pt>
                <c:pt idx="12">
                  <c:v>바.기타 원자재</c:v>
                </c:pt>
                <c:pt idx="13">
                  <c:v>라.간이세율적용분</c:v>
                </c:pt>
              </c:strCache>
            </c:strRef>
          </c:cat>
          <c:val>
            <c:numRef>
              <c:f>분석4_그래프!$B$13:$B$26</c:f>
              <c:numCache>
                <c:formatCode>#,##0</c:formatCode>
                <c:ptCount val="14"/>
                <c:pt idx="0">
                  <c:v>20644951</c:v>
                </c:pt>
                <c:pt idx="1">
                  <c:v>3235033</c:v>
                </c:pt>
                <c:pt idx="2">
                  <c:v>2332453</c:v>
                </c:pt>
                <c:pt idx="3">
                  <c:v>2241912</c:v>
                </c:pt>
                <c:pt idx="4">
                  <c:v>1493690</c:v>
                </c:pt>
                <c:pt idx="5">
                  <c:v>1336305</c:v>
                </c:pt>
                <c:pt idx="6">
                  <c:v>634629</c:v>
                </c:pt>
                <c:pt idx="7">
                  <c:v>555077</c:v>
                </c:pt>
                <c:pt idx="8">
                  <c:v>474838</c:v>
                </c:pt>
                <c:pt idx="9">
                  <c:v>66690</c:v>
                </c:pt>
                <c:pt idx="10">
                  <c:v>47366</c:v>
                </c:pt>
                <c:pt idx="11">
                  <c:v>46314</c:v>
                </c:pt>
                <c:pt idx="12">
                  <c:v>5032</c:v>
                </c:pt>
                <c:pt idx="13">
                  <c:v>872</c:v>
                </c:pt>
              </c:numCache>
            </c:numRef>
          </c:val>
        </c:ser>
        <c:gapWidth val="150"/>
        <c:overlap val="0"/>
        <c:axId val="2443250"/>
        <c:axId val="19405030"/>
      </c:barChart>
      <c:catAx>
        <c:axId val="24432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증감액(천달러)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05030"/>
        <c:crosses val="autoZero"/>
        <c:auto val="1"/>
        <c:lblAlgn val="ctr"/>
        <c:lblOffset val="100"/>
        <c:noMultiLvlLbl val="0"/>
      </c:catAx>
      <c:valAx>
        <c:axId val="1940503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3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8. 물량·금액·단가 지수 비교 (2026.01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분석4_그래프!A6</c:f>
              <c:strCache>
                <c:ptCount val="1"/>
                <c:pt idx="0">
                  <c:v>수출 금액 지수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분석4_그래프!$B$5:$H$5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분석4_그래프!$B$6:$H$6</c:f>
              <c:numCache>
                <c:formatCode>0.0</c:formatCode>
                <c:ptCount val="7"/>
                <c:pt idx="0">
                  <c:v>100</c:v>
                </c:pt>
                <c:pt idx="1">
                  <c:v>102.731625844305</c:v>
                </c:pt>
                <c:pt idx="2">
                  <c:v>132.636552398135</c:v>
                </c:pt>
                <c:pt idx="3">
                  <c:v>130.235048065246</c:v>
                </c:pt>
                <c:pt idx="4">
                  <c:v>133.005538535765</c:v>
                </c:pt>
                <c:pt idx="5">
                  <c:v>154.845174279296</c:v>
                </c:pt>
                <c:pt idx="6">
                  <c:v>150.29341122175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분석4_그래프!A7</c:f>
              <c:strCache>
                <c:ptCount val="1"/>
                <c:pt idx="0">
                  <c:v>수출 중량 지수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분석4_그래프!$B$5:$H$5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분석4_그래프!$B$7:$H$7</c:f>
              <c:numCache>
                <c:formatCode>0.0</c:formatCode>
                <c:ptCount val="7"/>
                <c:pt idx="0">
                  <c:v>100</c:v>
                </c:pt>
                <c:pt idx="1">
                  <c:v>93.1993216848621</c:v>
                </c:pt>
                <c:pt idx="2">
                  <c:v>96.6565260137788</c:v>
                </c:pt>
                <c:pt idx="3">
                  <c:v>86.1036388655883</c:v>
                </c:pt>
                <c:pt idx="4">
                  <c:v>81.1801294864253</c:v>
                </c:pt>
                <c:pt idx="5">
                  <c:v>93.7155007138075</c:v>
                </c:pt>
                <c:pt idx="6">
                  <c:v>105.500213686449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분석4_그래프!A8</c:f>
              <c:strCache>
                <c:ptCount val="1"/>
                <c:pt idx="0">
                  <c:v>수출 단가 지수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분석4_그래프!$B$5:$H$5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분석4_그래프!$B$8:$H$8</c:f>
              <c:numCache>
                <c:formatCode>0.0</c:formatCode>
                <c:ptCount val="7"/>
                <c:pt idx="0">
                  <c:v>100</c:v>
                </c:pt>
                <c:pt idx="1">
                  <c:v>110.227868601528</c:v>
                </c:pt>
                <c:pt idx="2">
                  <c:v>137.22462193523</c:v>
                </c:pt>
                <c:pt idx="3">
                  <c:v>151.25382594869</c:v>
                </c:pt>
                <c:pt idx="4">
                  <c:v>163.840017720107</c:v>
                </c:pt>
                <c:pt idx="5">
                  <c:v>165.228988907789</c:v>
                </c:pt>
                <c:pt idx="6">
                  <c:v>142.457921145476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분석4_그래프!A9</c:f>
              <c:strCache>
                <c:ptCount val="1"/>
                <c:pt idx="0">
                  <c:v>수입 금액 지수</c:v>
                </c:pt>
              </c:strCache>
            </c:strRef>
          </c:tx>
          <c:spPr>
            <a:solidFill>
              <a:srgbClr val="ffc000"/>
            </a:solidFill>
            <a:ln w="1908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분석4_그래프!$B$5:$H$5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분석4_그래프!$B$9:$H$9</c:f>
              <c:numCache>
                <c:formatCode>0.0</c:formatCode>
                <c:ptCount val="7"/>
                <c:pt idx="0">
                  <c:v>100</c:v>
                </c:pt>
                <c:pt idx="1">
                  <c:v>90.8833746162663</c:v>
                </c:pt>
                <c:pt idx="2">
                  <c:v>106.317392106524</c:v>
                </c:pt>
                <c:pt idx="3">
                  <c:v>108.682425282931</c:v>
                </c:pt>
                <c:pt idx="4">
                  <c:v>106.308474202012</c:v>
                </c:pt>
                <c:pt idx="5">
                  <c:v>115.589037830377</c:v>
                </c:pt>
                <c:pt idx="6">
                  <c:v>119.991792937877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774807"/>
        <c:axId val="55388187"/>
      </c:lineChart>
      <c:catAx>
        <c:axId val="21774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기간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388187"/>
        <c:crosses val="autoZero"/>
        <c:auto val="1"/>
        <c:lblAlgn val="ctr"/>
        <c:lblOffset val="100"/>
        <c:noMultiLvlLbl val="0"/>
      </c:catAx>
      <c:valAx>
        <c:axId val="5538818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지수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74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9. 수출·수입 단가와 순상품교역조건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분석2_월별추이!M5</c:f>
              <c:strCache>
                <c:ptCount val="1"/>
                <c:pt idx="0">
                  <c:v>수출단가(천$/톤)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분석2_월별추이!$M$6:$M$12</c:f>
              <c:numCache>
                <c:formatCode>#,##0.000</c:formatCode>
                <c:ptCount val="7"/>
                <c:pt idx="0">
                  <c:v>3.93334183515196</c:v>
                </c:pt>
                <c:pt idx="1">
                  <c:v>4.33563886970023</c:v>
                </c:pt>
                <c:pt idx="2">
                  <c:v>5.3975134627075</c:v>
                </c:pt>
                <c:pt idx="3">
                  <c:v>5.94933001330775</c:v>
                </c:pt>
                <c:pt idx="4">
                  <c:v>6.44438795970537</c:v>
                </c:pt>
                <c:pt idx="5">
                  <c:v>6.49902094450867</c:v>
                </c:pt>
                <c:pt idx="6">
                  <c:v>5.6033570099028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분석2_월별추이!N5</c:f>
              <c:strCache>
                <c:ptCount val="1"/>
                <c:pt idx="0">
                  <c:v>수입단가(천$/톤)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분석2_월별추이!$N$6:$N$12</c:f>
              <c:numCache>
                <c:formatCode>#,##0.000</c:formatCode>
                <c:ptCount val="7"/>
                <c:pt idx="0">
                  <c:v>1.14252396529967</c:v>
                </c:pt>
                <c:pt idx="1">
                  <c:v>1.19930648959583</c:v>
                </c:pt>
                <c:pt idx="2">
                  <c:v>1.38184635867779</c:v>
                </c:pt>
                <c:pt idx="3">
                  <c:v>1.47874177743768</c:v>
                </c:pt>
                <c:pt idx="4">
                  <c:v>1.52912533912799</c:v>
                </c:pt>
                <c:pt idx="5">
                  <c:v>1.51185634742235</c:v>
                </c:pt>
                <c:pt idx="6">
                  <c:v>1.34067020127308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365476"/>
        <c:axId val="97663195"/>
      </c:lineChart>
      <c:lineChart>
        <c:grouping val="standard"/>
        <c:varyColors val="0"/>
        <c:ser>
          <c:idx val="2"/>
          <c:order val="2"/>
          <c:tx>
            <c:strRef>
              <c:f>분석2_월별추이!O5</c:f>
              <c:strCache>
                <c:ptCount val="1"/>
                <c:pt idx="0">
                  <c:v>순상품교역조건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분석2_월별추이!$A$6:$A$12</c:f>
              <c:strCache>
                <c:ptCount val="7"/>
                <c:pt idx="0">
                  <c:v>2026.01</c:v>
                </c:pt>
                <c:pt idx="1">
                  <c:v>2026.02</c:v>
                </c:pt>
                <c:pt idx="2">
                  <c:v>2026.03</c:v>
                </c:pt>
                <c:pt idx="3">
                  <c:v>2026.04</c:v>
                </c:pt>
                <c:pt idx="4">
                  <c:v>2026.05</c:v>
                </c:pt>
                <c:pt idx="5">
                  <c:v>2026.06</c:v>
                </c:pt>
                <c:pt idx="6">
                  <c:v>2026.07</c:v>
                </c:pt>
              </c:strCache>
            </c:strRef>
          </c:cat>
          <c:val>
            <c:numRef>
              <c:f>분석2_월별추이!$O$6:$O$12</c:f>
              <c:numCache>
                <c:formatCode>0.000</c:formatCode>
                <c:ptCount val="7"/>
                <c:pt idx="0">
                  <c:v>3.44267775085164</c:v>
                </c:pt>
                <c:pt idx="1">
                  <c:v>3.61512166182087</c:v>
                </c:pt>
                <c:pt idx="2">
                  <c:v>3.90601562092045</c:v>
                </c:pt>
                <c:pt idx="3">
                  <c:v>4.02323793381735</c:v>
                </c:pt>
                <c:pt idx="4">
                  <c:v>4.21442755201504</c:v>
                </c:pt>
                <c:pt idx="5">
                  <c:v>4.29870268798303</c:v>
                </c:pt>
                <c:pt idx="6">
                  <c:v>4.17951932144231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817033"/>
        <c:axId val="84629589"/>
      </c:lineChart>
      <c:catAx>
        <c:axId val="58365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63195"/>
        <c:crosses val="autoZero"/>
        <c:auto val="1"/>
        <c:lblAlgn val="ctr"/>
        <c:lblOffset val="100"/>
        <c:noMultiLvlLbl val="0"/>
      </c:catAx>
      <c:valAx>
        <c:axId val="976631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천달러/톤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65476"/>
        <c:crosses val="autoZero"/>
        <c:crossBetween val="between"/>
      </c:valAx>
      <c:catAx>
        <c:axId val="8781703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29589"/>
        <c:crosses val="autoZero"/>
        <c:auto val="1"/>
        <c:lblAlgn val="ctr"/>
        <c:lblOffset val="100"/>
        <c:noMultiLvlLbl val="0"/>
      </c:catAx>
      <c:valAx>
        <c:axId val="8462958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교역조건(배)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17033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2520</xdr:rowOff>
    </xdr:from>
    <xdr:to>
      <xdr:col>7</xdr:col>
      <xdr:colOff>114120</xdr:colOff>
      <xdr:row>51</xdr:row>
      <xdr:rowOff>131040</xdr:rowOff>
    </xdr:to>
    <xdr:graphicFrame>
      <xdr:nvGraphicFramePr>
        <xdr:cNvPr id="0" name="Chart 1"/>
        <xdr:cNvGraphicFramePr/>
      </xdr:nvGraphicFramePr>
      <xdr:xfrm>
        <a:off x="0" y="561024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54</xdr:row>
      <xdr:rowOff>2520</xdr:rowOff>
    </xdr:from>
    <xdr:to>
      <xdr:col>7</xdr:col>
      <xdr:colOff>114120</xdr:colOff>
      <xdr:row>76</xdr:row>
      <xdr:rowOff>131040</xdr:rowOff>
    </xdr:to>
    <xdr:graphicFrame>
      <xdr:nvGraphicFramePr>
        <xdr:cNvPr id="1" name="Chart 2"/>
        <xdr:cNvGraphicFramePr/>
      </xdr:nvGraphicFramePr>
      <xdr:xfrm>
        <a:off x="0" y="10372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79</xdr:row>
      <xdr:rowOff>2520</xdr:rowOff>
    </xdr:from>
    <xdr:to>
      <xdr:col>7</xdr:col>
      <xdr:colOff>114120</xdr:colOff>
      <xdr:row>101</xdr:row>
      <xdr:rowOff>131040</xdr:rowOff>
    </xdr:to>
    <xdr:graphicFrame>
      <xdr:nvGraphicFramePr>
        <xdr:cNvPr id="2" name="Chart 3"/>
        <xdr:cNvGraphicFramePr/>
      </xdr:nvGraphicFramePr>
      <xdr:xfrm>
        <a:off x="0" y="151351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104</xdr:row>
      <xdr:rowOff>2520</xdr:rowOff>
    </xdr:from>
    <xdr:to>
      <xdr:col>7</xdr:col>
      <xdr:colOff>114120</xdr:colOff>
      <xdr:row>126</xdr:row>
      <xdr:rowOff>131040</xdr:rowOff>
    </xdr:to>
    <xdr:graphicFrame>
      <xdr:nvGraphicFramePr>
        <xdr:cNvPr id="3" name="Chart 4"/>
        <xdr:cNvGraphicFramePr/>
      </xdr:nvGraphicFramePr>
      <xdr:xfrm>
        <a:off x="0" y="198975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129</xdr:row>
      <xdr:rowOff>2520</xdr:rowOff>
    </xdr:from>
    <xdr:to>
      <xdr:col>7</xdr:col>
      <xdr:colOff>114120</xdr:colOff>
      <xdr:row>151</xdr:row>
      <xdr:rowOff>131400</xdr:rowOff>
    </xdr:to>
    <xdr:graphicFrame>
      <xdr:nvGraphicFramePr>
        <xdr:cNvPr id="4" name="Chart 5"/>
        <xdr:cNvGraphicFramePr/>
      </xdr:nvGraphicFramePr>
      <xdr:xfrm>
        <a:off x="0" y="2466036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154</xdr:row>
      <xdr:rowOff>2520</xdr:rowOff>
    </xdr:from>
    <xdr:to>
      <xdr:col>7</xdr:col>
      <xdr:colOff>114120</xdr:colOff>
      <xdr:row>176</xdr:row>
      <xdr:rowOff>131400</xdr:rowOff>
    </xdr:to>
    <xdr:graphicFrame>
      <xdr:nvGraphicFramePr>
        <xdr:cNvPr id="5" name="Chart 6"/>
        <xdr:cNvGraphicFramePr/>
      </xdr:nvGraphicFramePr>
      <xdr:xfrm>
        <a:off x="0" y="2942280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179</xdr:row>
      <xdr:rowOff>2520</xdr:rowOff>
    </xdr:from>
    <xdr:to>
      <xdr:col>7</xdr:col>
      <xdr:colOff>114120</xdr:colOff>
      <xdr:row>205</xdr:row>
      <xdr:rowOff>89280</xdr:rowOff>
    </xdr:to>
    <xdr:graphicFrame>
      <xdr:nvGraphicFramePr>
        <xdr:cNvPr id="6" name="Chart 7"/>
        <xdr:cNvGraphicFramePr/>
      </xdr:nvGraphicFramePr>
      <xdr:xfrm>
        <a:off x="0" y="3418524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204</xdr:row>
      <xdr:rowOff>2520</xdr:rowOff>
    </xdr:from>
    <xdr:to>
      <xdr:col>7</xdr:col>
      <xdr:colOff>114120</xdr:colOff>
      <xdr:row>226</xdr:row>
      <xdr:rowOff>131040</xdr:rowOff>
    </xdr:to>
    <xdr:graphicFrame>
      <xdr:nvGraphicFramePr>
        <xdr:cNvPr id="7" name="Chart 8"/>
        <xdr:cNvGraphicFramePr/>
      </xdr:nvGraphicFramePr>
      <xdr:xfrm>
        <a:off x="0" y="3894768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229</xdr:row>
      <xdr:rowOff>2520</xdr:rowOff>
    </xdr:from>
    <xdr:to>
      <xdr:col>7</xdr:col>
      <xdr:colOff>114120</xdr:colOff>
      <xdr:row>251</xdr:row>
      <xdr:rowOff>131040</xdr:rowOff>
    </xdr:to>
    <xdr:graphicFrame>
      <xdr:nvGraphicFramePr>
        <xdr:cNvPr id="8" name="Chart 9"/>
        <xdr:cNvGraphicFramePr/>
      </xdr:nvGraphicFramePr>
      <xdr:xfrm>
        <a:off x="0" y="4371012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390625" defaultRowHeight="17.25" zeroHeight="false" outlineLevelRow="0" outlineLevelCol="0"/>
  <cols>
    <col collapsed="false" customWidth="true" hidden="false" outlineLevel="0" max="4" min="1" style="1" width="23.5"/>
    <col collapsed="false" customWidth="true" hidden="false" outlineLevel="0" max="5" min="5" style="1" width="31.2"/>
    <col collapsed="false" customWidth="true" hidden="false" outlineLevel="0" max="9" min="6" style="1" width="23.5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7.25" hidden="false" customHeight="false" outlineLevel="0" collapsed="false">
      <c r="A3" s="3" t="s">
        <v>1</v>
      </c>
    </row>
    <row r="4" customFormat="false" ht="17.25" hidden="false" customHeight="false" outlineLevel="0" collapsed="false">
      <c r="I4" s="3" t="s">
        <v>2</v>
      </c>
    </row>
    <row r="5" customFormat="false" ht="17.2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7.25" hidden="false" customHeight="false" outlineLevel="0" collapsed="false">
      <c r="A6" s="5" t="s">
        <v>12</v>
      </c>
      <c r="B6" s="6" t="n">
        <v>156.5</v>
      </c>
      <c r="C6" s="6" t="n">
        <v>7920384</v>
      </c>
      <c r="D6" s="6" t="n">
        <v>109873539.6</v>
      </c>
      <c r="E6" s="6" t="n">
        <v>595062835</v>
      </c>
      <c r="F6" s="6" t="n">
        <v>34460197</v>
      </c>
      <c r="G6" s="6" t="n">
        <v>313843050.5</v>
      </c>
      <c r="H6" s="6" t="n">
        <v>427303144</v>
      </c>
      <c r="I6" s="6" t="n">
        <v>167759691</v>
      </c>
    </row>
    <row r="7" customFormat="false" ht="17.25" hidden="false" customHeight="false" outlineLevel="0" collapsed="false">
      <c r="A7" s="7" t="s">
        <v>13</v>
      </c>
      <c r="B7" s="6" t="n">
        <v>23.5</v>
      </c>
      <c r="C7" s="6" t="n">
        <v>1027989</v>
      </c>
      <c r="D7" s="6" t="n">
        <v>16739947.8</v>
      </c>
      <c r="E7" s="6" t="n">
        <v>65843937</v>
      </c>
      <c r="F7" s="6" t="n">
        <v>4936713</v>
      </c>
      <c r="G7" s="6" t="n">
        <v>50015116.3</v>
      </c>
      <c r="H7" s="6" t="n">
        <v>57143469</v>
      </c>
      <c r="I7" s="6" t="n">
        <v>8700468</v>
      </c>
    </row>
    <row r="8" customFormat="false" ht="17.25" hidden="false" customHeight="false" outlineLevel="0" collapsed="false">
      <c r="A8" s="7" t="s">
        <v>14</v>
      </c>
      <c r="B8" s="6" t="n">
        <v>19</v>
      </c>
      <c r="C8" s="6" t="n">
        <v>970132</v>
      </c>
      <c r="D8" s="6" t="n">
        <v>15601517.8</v>
      </c>
      <c r="E8" s="6" t="n">
        <v>67642547</v>
      </c>
      <c r="F8" s="6" t="n">
        <v>4102805</v>
      </c>
      <c r="G8" s="6" t="n">
        <v>43303286.9</v>
      </c>
      <c r="H8" s="6" t="n">
        <v>51933913</v>
      </c>
      <c r="I8" s="6" t="n">
        <v>15708634</v>
      </c>
    </row>
    <row r="9" customFormat="false" ht="17.25" hidden="false" customHeight="false" outlineLevel="0" collapsed="false">
      <c r="A9" s="7" t="s">
        <v>15</v>
      </c>
      <c r="B9" s="6" t="n">
        <v>23</v>
      </c>
      <c r="C9" s="6" t="n">
        <v>1439801</v>
      </c>
      <c r="D9" s="6" t="n">
        <v>16180252</v>
      </c>
      <c r="E9" s="6" t="n">
        <v>87333128</v>
      </c>
      <c r="F9" s="6" t="n">
        <v>5237532</v>
      </c>
      <c r="G9" s="6" t="n">
        <v>43965413.1</v>
      </c>
      <c r="H9" s="6" t="n">
        <v>60753446</v>
      </c>
      <c r="I9" s="6" t="n">
        <v>26579682</v>
      </c>
    </row>
    <row r="10" customFormat="false" ht="17.25" hidden="false" customHeight="false" outlineLevel="0" collapsed="false">
      <c r="A10" s="7" t="s">
        <v>16</v>
      </c>
      <c r="B10" s="6" t="n">
        <v>24</v>
      </c>
      <c r="C10" s="6" t="n">
        <v>1130727</v>
      </c>
      <c r="D10" s="6" t="n">
        <v>14413704.2</v>
      </c>
      <c r="E10" s="6" t="n">
        <v>85751883</v>
      </c>
      <c r="F10" s="6" t="n">
        <v>5105811</v>
      </c>
      <c r="G10" s="6" t="n">
        <v>41998480.7</v>
      </c>
      <c r="H10" s="6" t="n">
        <v>62104908</v>
      </c>
      <c r="I10" s="6" t="n">
        <v>23646975</v>
      </c>
    </row>
    <row r="11" customFormat="false" ht="17.25" hidden="false" customHeight="false" outlineLevel="0" collapsed="false">
      <c r="A11" s="7" t="s">
        <v>17</v>
      </c>
      <c r="B11" s="6" t="n">
        <v>20.5</v>
      </c>
      <c r="C11" s="6" t="n">
        <v>993936</v>
      </c>
      <c r="D11" s="6" t="n">
        <v>13589511.3</v>
      </c>
      <c r="E11" s="6" t="n">
        <v>87576083</v>
      </c>
      <c r="F11" s="6" t="n">
        <v>4874306</v>
      </c>
      <c r="G11" s="6" t="n">
        <v>39727515.1</v>
      </c>
      <c r="H11" s="6" t="n">
        <v>60748350</v>
      </c>
      <c r="I11" s="6" t="n">
        <v>26827733</v>
      </c>
    </row>
    <row r="12" customFormat="false" ht="17.25" hidden="false" customHeight="false" outlineLevel="0" collapsed="false">
      <c r="A12" s="7" t="s">
        <v>18</v>
      </c>
      <c r="B12" s="6" t="n">
        <v>22.5</v>
      </c>
      <c r="C12" s="6" t="n">
        <v>1245865</v>
      </c>
      <c r="D12" s="6" t="n">
        <v>15687925.9</v>
      </c>
      <c r="E12" s="6" t="n">
        <v>101956159</v>
      </c>
      <c r="F12" s="6" t="n">
        <v>5044182</v>
      </c>
      <c r="G12" s="6" t="n">
        <v>43689062.2</v>
      </c>
      <c r="H12" s="6" t="n">
        <v>66051586</v>
      </c>
      <c r="I12" s="6" t="n">
        <v>35904573</v>
      </c>
    </row>
    <row r="13" customFormat="false" ht="17.25" hidden="false" customHeight="false" outlineLevel="0" collapsed="false">
      <c r="A13" s="7" t="s">
        <v>19</v>
      </c>
      <c r="B13" s="6" t="n">
        <v>24</v>
      </c>
      <c r="C13" s="6" t="n">
        <v>1111934</v>
      </c>
      <c r="D13" s="6" t="n">
        <v>17660680.7</v>
      </c>
      <c r="E13" s="6" t="n">
        <v>98959099</v>
      </c>
      <c r="F13" s="6" t="n">
        <v>5158848</v>
      </c>
      <c r="G13" s="6" t="n">
        <v>51144176.2</v>
      </c>
      <c r="H13" s="6" t="n">
        <v>68567473</v>
      </c>
      <c r="I13" s="6" t="n">
        <v>30391625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7.2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31.2"/>
    <col collapsed="false" customWidth="true" hidden="false" outlineLevel="0" max="4" min="3" style="1" width="23.5"/>
    <col collapsed="false" customWidth="true" hidden="false" outlineLevel="0" max="7" min="7" style="1" width="11"/>
  </cols>
  <sheetData>
    <row r="1" customFormat="false" ht="45" hidden="false" customHeight="true" outlineLevel="0" collapsed="false">
      <c r="A1" s="2" t="s">
        <v>20</v>
      </c>
      <c r="B1" s="2"/>
      <c r="C1" s="2"/>
      <c r="D1" s="2"/>
    </row>
    <row r="3" customFormat="false" ht="17.25" hidden="false" customHeight="false" outlineLevel="0" collapsed="false">
      <c r="A3" s="3" t="s">
        <v>21</v>
      </c>
    </row>
    <row r="4" customFormat="false" ht="17.25" hidden="false" customHeight="false" outlineLevel="0" collapsed="false">
      <c r="D4" s="3" t="s">
        <v>22</v>
      </c>
    </row>
    <row r="5" customFormat="false" ht="17.25" hidden="false" customHeight="false" outlineLevel="0" collapsed="false">
      <c r="A5" s="4" t="s">
        <v>3</v>
      </c>
      <c r="B5" s="4" t="s">
        <v>23</v>
      </c>
      <c r="C5" s="4" t="s">
        <v>24</v>
      </c>
      <c r="D5" s="4" t="s">
        <v>25</v>
      </c>
    </row>
    <row r="6" customFormat="false" ht="17.25" hidden="false" customHeight="false" outlineLevel="0" collapsed="false">
      <c r="A6" s="5" t="s">
        <v>12</v>
      </c>
      <c r="B6" s="7"/>
      <c r="C6" s="6" t="n">
        <v>109873539.6</v>
      </c>
      <c r="D6" s="6" t="n">
        <v>595062835</v>
      </c>
    </row>
    <row r="7" customFormat="false" ht="17.25" hidden="false" customHeight="false" outlineLevel="0" collapsed="false">
      <c r="A7" s="7" t="n">
        <v>2026.01</v>
      </c>
      <c r="B7" s="7" t="s">
        <v>26</v>
      </c>
      <c r="C7" s="6" t="n">
        <v>305634.2</v>
      </c>
      <c r="D7" s="6" t="n">
        <v>1018552</v>
      </c>
    </row>
    <row r="8" customFormat="false" ht="17.25" hidden="false" customHeight="false" outlineLevel="0" collapsed="false">
      <c r="A8" s="7" t="n">
        <v>2026.01</v>
      </c>
      <c r="B8" s="7" t="s">
        <v>27</v>
      </c>
      <c r="C8" s="6" t="n">
        <v>6781530.7</v>
      </c>
      <c r="D8" s="6" t="n">
        <v>4654223</v>
      </c>
    </row>
    <row r="9" customFormat="false" ht="17.25" hidden="false" customHeight="false" outlineLevel="0" collapsed="false">
      <c r="A9" s="7" t="n">
        <v>2026.01</v>
      </c>
      <c r="B9" s="7" t="s">
        <v>28</v>
      </c>
      <c r="C9" s="6" t="n">
        <v>818424.6</v>
      </c>
      <c r="D9" s="6" t="n">
        <v>3082056</v>
      </c>
    </row>
    <row r="10" customFormat="false" ht="17.25" hidden="false" customHeight="false" outlineLevel="0" collapsed="false">
      <c r="A10" s="7" t="n">
        <v>2026.01</v>
      </c>
      <c r="B10" s="5" t="s">
        <v>29</v>
      </c>
      <c r="C10" s="6" t="n">
        <v>52997.6</v>
      </c>
      <c r="D10" s="6" t="n">
        <v>81834</v>
      </c>
    </row>
    <row r="11" customFormat="false" ht="17.25" hidden="false" customHeight="false" outlineLevel="0" collapsed="false">
      <c r="A11" s="7" t="n">
        <v>2026.01</v>
      </c>
      <c r="B11" s="5" t="s">
        <v>30</v>
      </c>
      <c r="C11" s="6" t="n">
        <v>15913.6</v>
      </c>
      <c r="D11" s="6" t="n">
        <v>59575</v>
      </c>
      <c r="G11" s="8"/>
    </row>
    <row r="12" customFormat="false" ht="17.25" hidden="false" customHeight="false" outlineLevel="0" collapsed="false">
      <c r="A12" s="7" t="n">
        <v>2026.01</v>
      </c>
      <c r="B12" s="5" t="s">
        <v>31</v>
      </c>
      <c r="C12" s="6" t="n">
        <v>28445.2</v>
      </c>
      <c r="D12" s="6" t="n">
        <v>275298</v>
      </c>
    </row>
    <row r="13" customFormat="false" ht="17.25" hidden="false" customHeight="false" outlineLevel="0" collapsed="false">
      <c r="A13" s="7" t="n">
        <v>2026.01</v>
      </c>
      <c r="B13" s="5" t="s">
        <v>32</v>
      </c>
      <c r="C13" s="6" t="n">
        <v>20395.8</v>
      </c>
      <c r="D13" s="6" t="n">
        <v>159996</v>
      </c>
      <c r="G13" s="8"/>
    </row>
    <row r="14" customFormat="false" ht="17.25" hidden="false" customHeight="false" outlineLevel="0" collapsed="false">
      <c r="A14" s="7" t="n">
        <v>2026.01</v>
      </c>
      <c r="B14" s="5" t="s">
        <v>33</v>
      </c>
      <c r="C14" s="6" t="n">
        <v>5256</v>
      </c>
      <c r="D14" s="6" t="n">
        <v>145729</v>
      </c>
    </row>
    <row r="15" customFormat="false" ht="17.25" hidden="false" customHeight="false" outlineLevel="0" collapsed="false">
      <c r="A15" s="7" t="n">
        <v>2026.01</v>
      </c>
      <c r="B15" s="5" t="s">
        <v>34</v>
      </c>
      <c r="C15" s="6" t="n">
        <v>16632.3</v>
      </c>
      <c r="D15" s="6" t="n">
        <v>94526</v>
      </c>
    </row>
    <row r="16" customFormat="false" ht="17.25" hidden="false" customHeight="false" outlineLevel="0" collapsed="false">
      <c r="A16" s="7" t="n">
        <v>2026.01</v>
      </c>
      <c r="B16" s="5" t="s">
        <v>35</v>
      </c>
      <c r="C16" s="6" t="n">
        <v>71925.9</v>
      </c>
      <c r="D16" s="6" t="n">
        <v>401578</v>
      </c>
    </row>
    <row r="17" customFormat="false" ht="17.25" hidden="false" customHeight="false" outlineLevel="0" collapsed="false">
      <c r="A17" s="7" t="n">
        <v>2026.01</v>
      </c>
      <c r="B17" s="5" t="s">
        <v>36</v>
      </c>
      <c r="C17" s="6" t="n">
        <v>289.6</v>
      </c>
      <c r="D17" s="6" t="n">
        <v>701882</v>
      </c>
    </row>
    <row r="18" customFormat="false" ht="17.25" hidden="false" customHeight="false" outlineLevel="0" collapsed="false">
      <c r="A18" s="7" t="n">
        <v>2026.01</v>
      </c>
      <c r="B18" s="5" t="s">
        <v>37</v>
      </c>
      <c r="C18" s="6" t="n">
        <v>247902</v>
      </c>
      <c r="D18" s="6" t="n">
        <v>181453</v>
      </c>
    </row>
    <row r="19" customFormat="false" ht="17.25" hidden="false" customHeight="false" outlineLevel="0" collapsed="false">
      <c r="A19" s="7" t="n">
        <v>2026.01</v>
      </c>
      <c r="B19" s="5" t="s">
        <v>38</v>
      </c>
      <c r="C19" s="6" t="n">
        <v>2268.7</v>
      </c>
      <c r="D19" s="6" t="n">
        <v>54068</v>
      </c>
    </row>
    <row r="20" customFormat="false" ht="17.25" hidden="false" customHeight="false" outlineLevel="0" collapsed="false">
      <c r="A20" s="7" t="n">
        <v>2026.01</v>
      </c>
      <c r="B20" s="5" t="s">
        <v>39</v>
      </c>
      <c r="C20" s="6" t="n">
        <v>356398.1</v>
      </c>
      <c r="D20" s="6" t="n">
        <v>926117</v>
      </c>
    </row>
    <row r="21" customFormat="false" ht="17.25" hidden="false" customHeight="false" outlineLevel="0" collapsed="false">
      <c r="A21" s="7" t="n">
        <v>2026.01</v>
      </c>
      <c r="B21" s="7" t="s">
        <v>40</v>
      </c>
      <c r="C21" s="6" t="n">
        <v>8834358.3</v>
      </c>
      <c r="D21" s="6" t="n">
        <v>57089106</v>
      </c>
    </row>
    <row r="22" customFormat="false" ht="17.25" hidden="false" customHeight="false" outlineLevel="0" collapsed="false">
      <c r="A22" s="7" t="n">
        <v>2026.01</v>
      </c>
      <c r="B22" s="5" t="s">
        <v>41</v>
      </c>
      <c r="C22" s="6" t="n">
        <v>3996708.5</v>
      </c>
      <c r="D22" s="6" t="n">
        <v>6584897</v>
      </c>
    </row>
    <row r="23" customFormat="false" ht="17.25" hidden="false" customHeight="false" outlineLevel="0" collapsed="false">
      <c r="A23" s="7" t="n">
        <v>2026.01</v>
      </c>
      <c r="B23" s="5" t="s">
        <v>42</v>
      </c>
      <c r="C23" s="6" t="n">
        <v>2753812.4</v>
      </c>
      <c r="D23" s="6" t="n">
        <v>4072186</v>
      </c>
    </row>
    <row r="24" customFormat="false" ht="17.25" hidden="false" customHeight="false" outlineLevel="0" collapsed="false">
      <c r="A24" s="7" t="n">
        <v>2026.01</v>
      </c>
      <c r="B24" s="5" t="s">
        <v>43</v>
      </c>
      <c r="C24" s="6" t="n">
        <v>353988</v>
      </c>
      <c r="D24" s="6" t="n">
        <v>5421604</v>
      </c>
    </row>
    <row r="25" customFormat="false" ht="17.25" hidden="false" customHeight="false" outlineLevel="0" collapsed="false">
      <c r="A25" s="7" t="n">
        <v>2026.01</v>
      </c>
      <c r="B25" s="5" t="s">
        <v>44</v>
      </c>
      <c r="C25" s="6" t="n">
        <v>221696.4</v>
      </c>
      <c r="D25" s="6" t="n">
        <v>28840619</v>
      </c>
    </row>
    <row r="26" customFormat="false" ht="17.25" hidden="false" customHeight="false" outlineLevel="0" collapsed="false">
      <c r="A26" s="7" t="n">
        <v>2026.01</v>
      </c>
      <c r="B26" s="5" t="s">
        <v>45</v>
      </c>
      <c r="C26" s="6" t="n">
        <v>1436764.5</v>
      </c>
      <c r="D26" s="6" t="n">
        <v>10361778</v>
      </c>
    </row>
    <row r="27" customFormat="false" ht="17.25" hidden="false" customHeight="false" outlineLevel="0" collapsed="false">
      <c r="A27" s="7" t="n">
        <v>2026.01</v>
      </c>
      <c r="B27" s="5" t="s">
        <v>46</v>
      </c>
      <c r="C27" s="6" t="n">
        <v>71388.6</v>
      </c>
      <c r="D27" s="6" t="n">
        <v>1808021</v>
      </c>
    </row>
    <row r="28" customFormat="false" ht="17.25" hidden="false" customHeight="false" outlineLevel="0" collapsed="false">
      <c r="A28" s="7" t="n">
        <v>2026.02</v>
      </c>
      <c r="B28" s="7" t="s">
        <v>26</v>
      </c>
      <c r="C28" s="6" t="n">
        <v>290064.4</v>
      </c>
      <c r="D28" s="6" t="n">
        <v>926368</v>
      </c>
    </row>
    <row r="29" customFormat="false" ht="17.25" hidden="false" customHeight="false" outlineLevel="0" collapsed="false">
      <c r="A29" s="7" t="n">
        <v>2026.02</v>
      </c>
      <c r="B29" s="7" t="s">
        <v>27</v>
      </c>
      <c r="C29" s="6" t="n">
        <v>6399697.7</v>
      </c>
      <c r="D29" s="6" t="n">
        <v>4914885</v>
      </c>
    </row>
    <row r="30" customFormat="false" ht="17.25" hidden="false" customHeight="false" outlineLevel="0" collapsed="false">
      <c r="A30" s="7" t="n">
        <v>2026.02</v>
      </c>
      <c r="B30" s="7" t="s">
        <v>28</v>
      </c>
      <c r="C30" s="6" t="n">
        <v>781151.6</v>
      </c>
      <c r="D30" s="6" t="n">
        <v>3096567</v>
      </c>
    </row>
    <row r="31" customFormat="false" ht="17.25" hidden="false" customHeight="false" outlineLevel="0" collapsed="false">
      <c r="A31" s="7" t="n">
        <v>2026.02</v>
      </c>
      <c r="B31" s="5" t="s">
        <v>29</v>
      </c>
      <c r="C31" s="6" t="n">
        <v>50231.6</v>
      </c>
      <c r="D31" s="6" t="n">
        <v>73506</v>
      </c>
    </row>
    <row r="32" customFormat="false" ht="17.25" hidden="false" customHeight="false" outlineLevel="0" collapsed="false">
      <c r="A32" s="7" t="n">
        <v>2026.02</v>
      </c>
      <c r="B32" s="5" t="s">
        <v>30</v>
      </c>
      <c r="C32" s="6" t="n">
        <v>15313.5</v>
      </c>
      <c r="D32" s="6" t="n">
        <v>55539</v>
      </c>
    </row>
    <row r="33" customFormat="false" ht="17.25" hidden="false" customHeight="false" outlineLevel="0" collapsed="false">
      <c r="A33" s="7" t="n">
        <v>2026.02</v>
      </c>
      <c r="B33" s="5" t="s">
        <v>31</v>
      </c>
      <c r="C33" s="6" t="n">
        <v>23406.5</v>
      </c>
      <c r="D33" s="6" t="n">
        <v>221534</v>
      </c>
    </row>
    <row r="34" customFormat="false" ht="17.25" hidden="false" customHeight="false" outlineLevel="0" collapsed="false">
      <c r="A34" s="7" t="n">
        <v>2026.02</v>
      </c>
      <c r="B34" s="5" t="s">
        <v>32</v>
      </c>
      <c r="C34" s="6" t="n">
        <v>18690.8</v>
      </c>
      <c r="D34" s="6" t="n">
        <v>142303</v>
      </c>
    </row>
    <row r="35" customFormat="false" ht="17.25" hidden="false" customHeight="false" outlineLevel="0" collapsed="false">
      <c r="A35" s="7" t="n">
        <v>2026.02</v>
      </c>
      <c r="B35" s="5" t="s">
        <v>33</v>
      </c>
      <c r="C35" s="6" t="n">
        <v>3906.8</v>
      </c>
      <c r="D35" s="6" t="n">
        <v>128724</v>
      </c>
    </row>
    <row r="36" customFormat="false" ht="17.25" hidden="false" customHeight="false" outlineLevel="0" collapsed="false">
      <c r="A36" s="7" t="n">
        <v>2026.02</v>
      </c>
      <c r="B36" s="5" t="s">
        <v>34</v>
      </c>
      <c r="C36" s="6" t="n">
        <v>14868.1</v>
      </c>
      <c r="D36" s="6" t="n">
        <v>80045</v>
      </c>
    </row>
    <row r="37" customFormat="false" ht="17.25" hidden="false" customHeight="false" outlineLevel="0" collapsed="false">
      <c r="A37" s="7" t="n">
        <v>2026.02</v>
      </c>
      <c r="B37" s="5" t="s">
        <v>35</v>
      </c>
      <c r="C37" s="6" t="n">
        <v>61892.9</v>
      </c>
      <c r="D37" s="6" t="n">
        <v>344400</v>
      </c>
    </row>
    <row r="38" customFormat="false" ht="17.25" hidden="false" customHeight="false" outlineLevel="0" collapsed="false">
      <c r="A38" s="7" t="n">
        <v>2026.02</v>
      </c>
      <c r="B38" s="5" t="s">
        <v>36</v>
      </c>
      <c r="C38" s="6" t="n">
        <v>270.6</v>
      </c>
      <c r="D38" s="6" t="n">
        <v>995740</v>
      </c>
    </row>
    <row r="39" customFormat="false" ht="17.25" hidden="false" customHeight="false" outlineLevel="0" collapsed="false">
      <c r="A39" s="7" t="n">
        <v>2026.02</v>
      </c>
      <c r="B39" s="5" t="s">
        <v>37</v>
      </c>
      <c r="C39" s="6" t="n">
        <v>268725.6</v>
      </c>
      <c r="D39" s="6" t="n">
        <v>159026</v>
      </c>
    </row>
    <row r="40" customFormat="false" ht="17.25" hidden="false" customHeight="false" outlineLevel="0" collapsed="false">
      <c r="A40" s="7" t="n">
        <v>2026.02</v>
      </c>
      <c r="B40" s="5" t="s">
        <v>38</v>
      </c>
      <c r="C40" s="6" t="n">
        <v>2384.9</v>
      </c>
      <c r="D40" s="6" t="n">
        <v>57507</v>
      </c>
    </row>
    <row r="41" customFormat="false" ht="17.25" hidden="false" customHeight="false" outlineLevel="0" collapsed="false">
      <c r="A41" s="7" t="n">
        <v>2026.02</v>
      </c>
      <c r="B41" s="5" t="s">
        <v>39</v>
      </c>
      <c r="C41" s="6" t="n">
        <v>321460.4</v>
      </c>
      <c r="D41" s="6" t="n">
        <v>838242</v>
      </c>
    </row>
    <row r="42" customFormat="false" ht="17.25" hidden="false" customHeight="false" outlineLevel="0" collapsed="false">
      <c r="A42" s="7" t="n">
        <v>2026.02</v>
      </c>
      <c r="B42" s="7" t="s">
        <v>40</v>
      </c>
      <c r="C42" s="6" t="n">
        <v>8130604.2</v>
      </c>
      <c r="D42" s="6" t="n">
        <v>58704727</v>
      </c>
    </row>
    <row r="43" customFormat="false" ht="17.25" hidden="false" customHeight="false" outlineLevel="0" collapsed="false">
      <c r="A43" s="7" t="n">
        <v>2026.02</v>
      </c>
      <c r="B43" s="5" t="s">
        <v>41</v>
      </c>
      <c r="C43" s="6" t="n">
        <v>3679438.3</v>
      </c>
      <c r="D43" s="6" t="n">
        <v>6279361</v>
      </c>
    </row>
    <row r="44" customFormat="false" ht="17.25" hidden="false" customHeight="false" outlineLevel="0" collapsed="false">
      <c r="A44" s="7" t="n">
        <v>2026.02</v>
      </c>
      <c r="B44" s="5" t="s">
        <v>42</v>
      </c>
      <c r="C44" s="6" t="n">
        <v>2646975.8</v>
      </c>
      <c r="D44" s="6" t="n">
        <v>3678524</v>
      </c>
    </row>
    <row r="45" customFormat="false" ht="17.25" hidden="false" customHeight="false" outlineLevel="0" collapsed="false">
      <c r="A45" s="7" t="n">
        <v>2026.02</v>
      </c>
      <c r="B45" s="5" t="s">
        <v>43</v>
      </c>
      <c r="C45" s="6" t="n">
        <v>308818.2</v>
      </c>
      <c r="D45" s="6" t="n">
        <v>4904769</v>
      </c>
    </row>
    <row r="46" customFormat="false" ht="17.25" hidden="false" customHeight="false" outlineLevel="0" collapsed="false">
      <c r="A46" s="7" t="n">
        <v>2026.02</v>
      </c>
      <c r="B46" s="5" t="s">
        <v>44</v>
      </c>
      <c r="C46" s="6" t="n">
        <v>200088.4</v>
      </c>
      <c r="D46" s="6" t="n">
        <v>33394046</v>
      </c>
    </row>
    <row r="47" customFormat="false" ht="17.25" hidden="false" customHeight="false" outlineLevel="0" collapsed="false">
      <c r="A47" s="7" t="n">
        <v>2026.02</v>
      </c>
      <c r="B47" s="5" t="s">
        <v>45</v>
      </c>
      <c r="C47" s="6" t="n">
        <v>1230950.3</v>
      </c>
      <c r="D47" s="6" t="n">
        <v>8608748</v>
      </c>
    </row>
    <row r="48" customFormat="false" ht="17.25" hidden="false" customHeight="false" outlineLevel="0" collapsed="false">
      <c r="A48" s="7" t="n">
        <v>2026.02</v>
      </c>
      <c r="B48" s="5" t="s">
        <v>46</v>
      </c>
      <c r="C48" s="6" t="n">
        <v>64333.2</v>
      </c>
      <c r="D48" s="6" t="n">
        <v>1839279</v>
      </c>
    </row>
    <row r="49" customFormat="false" ht="17.25" hidden="false" customHeight="false" outlineLevel="0" collapsed="false">
      <c r="A49" s="7" t="n">
        <v>2026.03</v>
      </c>
      <c r="B49" s="7" t="s">
        <v>26</v>
      </c>
      <c r="C49" s="6" t="n">
        <v>394242.8</v>
      </c>
      <c r="D49" s="6" t="n">
        <v>1169585</v>
      </c>
    </row>
    <row r="50" customFormat="false" ht="17.25" hidden="false" customHeight="false" outlineLevel="0" collapsed="false">
      <c r="A50" s="7" t="n">
        <v>2026.03</v>
      </c>
      <c r="B50" s="7" t="s">
        <v>27</v>
      </c>
      <c r="C50" s="6" t="n">
        <v>5946541.9</v>
      </c>
      <c r="D50" s="6" t="n">
        <v>7280697</v>
      </c>
    </row>
    <row r="51" customFormat="false" ht="17.25" hidden="false" customHeight="false" outlineLevel="0" collapsed="false">
      <c r="A51" s="7" t="n">
        <v>2026.03</v>
      </c>
      <c r="B51" s="7" t="s">
        <v>28</v>
      </c>
      <c r="C51" s="6" t="n">
        <v>918239.5</v>
      </c>
      <c r="D51" s="6" t="n">
        <v>4111292</v>
      </c>
    </row>
    <row r="52" customFormat="false" ht="17.25" hidden="false" customHeight="false" outlineLevel="0" collapsed="false">
      <c r="A52" s="7" t="n">
        <v>2026.03</v>
      </c>
      <c r="B52" s="5" t="s">
        <v>29</v>
      </c>
      <c r="C52" s="6" t="n">
        <v>62068</v>
      </c>
      <c r="D52" s="6" t="n">
        <v>91453</v>
      </c>
    </row>
    <row r="53" customFormat="false" ht="17.25" hidden="false" customHeight="false" outlineLevel="0" collapsed="false">
      <c r="A53" s="7" t="n">
        <v>2026.03</v>
      </c>
      <c r="B53" s="5" t="s">
        <v>30</v>
      </c>
      <c r="C53" s="6" t="n">
        <v>17915.5</v>
      </c>
      <c r="D53" s="6" t="n">
        <v>66796</v>
      </c>
    </row>
    <row r="54" customFormat="false" ht="17.25" hidden="false" customHeight="false" outlineLevel="0" collapsed="false">
      <c r="A54" s="7" t="n">
        <v>2026.03</v>
      </c>
      <c r="B54" s="5" t="s">
        <v>31</v>
      </c>
      <c r="C54" s="6" t="n">
        <v>28243</v>
      </c>
      <c r="D54" s="6" t="n">
        <v>271710</v>
      </c>
    </row>
    <row r="55" customFormat="false" ht="17.25" hidden="false" customHeight="false" outlineLevel="0" collapsed="false">
      <c r="A55" s="7" t="n">
        <v>2026.03</v>
      </c>
      <c r="B55" s="5" t="s">
        <v>32</v>
      </c>
      <c r="C55" s="6" t="n">
        <v>23047.8</v>
      </c>
      <c r="D55" s="6" t="n">
        <v>178529</v>
      </c>
    </row>
    <row r="56" customFormat="false" ht="17.25" hidden="false" customHeight="false" outlineLevel="0" collapsed="false">
      <c r="A56" s="7" t="n">
        <v>2026.03</v>
      </c>
      <c r="B56" s="5" t="s">
        <v>33</v>
      </c>
      <c r="C56" s="6" t="n">
        <v>5511.3</v>
      </c>
      <c r="D56" s="6" t="n">
        <v>178394</v>
      </c>
    </row>
    <row r="57" customFormat="false" ht="17.25" hidden="false" customHeight="false" outlineLevel="0" collapsed="false">
      <c r="A57" s="7" t="n">
        <v>2026.03</v>
      </c>
      <c r="B57" s="5" t="s">
        <v>34</v>
      </c>
      <c r="C57" s="6" t="n">
        <v>19227.5</v>
      </c>
      <c r="D57" s="6" t="n">
        <v>99911</v>
      </c>
    </row>
    <row r="58" customFormat="false" ht="17.25" hidden="false" customHeight="false" outlineLevel="0" collapsed="false">
      <c r="A58" s="7" t="n">
        <v>2026.03</v>
      </c>
      <c r="B58" s="5" t="s">
        <v>35</v>
      </c>
      <c r="C58" s="6" t="n">
        <v>71364.6</v>
      </c>
      <c r="D58" s="6" t="n">
        <v>411282</v>
      </c>
    </row>
    <row r="59" customFormat="false" ht="17.25" hidden="false" customHeight="false" outlineLevel="0" collapsed="false">
      <c r="A59" s="7" t="n">
        <v>2026.03</v>
      </c>
      <c r="B59" s="5" t="s">
        <v>36</v>
      </c>
      <c r="C59" s="6" t="n">
        <v>307.1</v>
      </c>
      <c r="D59" s="6" t="n">
        <v>1538992</v>
      </c>
    </row>
    <row r="60" customFormat="false" ht="17.25" hidden="false" customHeight="false" outlineLevel="0" collapsed="false">
      <c r="A60" s="7" t="n">
        <v>2026.03</v>
      </c>
      <c r="B60" s="5" t="s">
        <v>37</v>
      </c>
      <c r="C60" s="6" t="n">
        <v>283640.2</v>
      </c>
      <c r="D60" s="6" t="n">
        <v>187937</v>
      </c>
    </row>
    <row r="61" customFormat="false" ht="17.25" hidden="false" customHeight="false" outlineLevel="0" collapsed="false">
      <c r="A61" s="7" t="n">
        <v>2026.03</v>
      </c>
      <c r="B61" s="5" t="s">
        <v>38</v>
      </c>
      <c r="C61" s="6" t="n">
        <v>2792.4</v>
      </c>
      <c r="D61" s="6" t="n">
        <v>63099</v>
      </c>
    </row>
    <row r="62" customFormat="false" ht="17.25" hidden="false" customHeight="false" outlineLevel="0" collapsed="false">
      <c r="A62" s="7" t="n">
        <v>2026.03</v>
      </c>
      <c r="B62" s="5" t="s">
        <v>39</v>
      </c>
      <c r="C62" s="6" t="n">
        <v>404121.9</v>
      </c>
      <c r="D62" s="6" t="n">
        <v>1023190</v>
      </c>
    </row>
    <row r="63" customFormat="false" ht="17.25" hidden="false" customHeight="false" outlineLevel="0" collapsed="false">
      <c r="A63" s="7" t="n">
        <v>2026.03</v>
      </c>
      <c r="B63" s="7" t="s">
        <v>40</v>
      </c>
      <c r="C63" s="6" t="n">
        <v>8921227.8</v>
      </c>
      <c r="D63" s="6" t="n">
        <v>74771554</v>
      </c>
    </row>
    <row r="64" customFormat="false" ht="17.25" hidden="false" customHeight="false" outlineLevel="0" collapsed="false">
      <c r="A64" s="7" t="n">
        <v>2026.03</v>
      </c>
      <c r="B64" s="5" t="s">
        <v>41</v>
      </c>
      <c r="C64" s="6" t="n">
        <v>3941649.9</v>
      </c>
      <c r="D64" s="6" t="n">
        <v>7361871</v>
      </c>
    </row>
    <row r="65" customFormat="false" ht="17.25" hidden="false" customHeight="false" outlineLevel="0" collapsed="false">
      <c r="A65" s="7" t="n">
        <v>2026.03</v>
      </c>
      <c r="B65" s="5" t="s">
        <v>42</v>
      </c>
      <c r="C65" s="6" t="n">
        <v>2724667.4</v>
      </c>
      <c r="D65" s="6" t="n">
        <v>4107993</v>
      </c>
    </row>
    <row r="66" customFormat="false" ht="17.25" hidden="false" customHeight="false" outlineLevel="0" collapsed="false">
      <c r="A66" s="7" t="n">
        <v>2026.03</v>
      </c>
      <c r="B66" s="5" t="s">
        <v>43</v>
      </c>
      <c r="C66" s="6" t="n">
        <v>356783.3</v>
      </c>
      <c r="D66" s="6" t="n">
        <v>6033664</v>
      </c>
    </row>
    <row r="67" customFormat="false" ht="17.25" hidden="false" customHeight="false" outlineLevel="0" collapsed="false">
      <c r="A67" s="7" t="n">
        <v>2026.03</v>
      </c>
      <c r="B67" s="5" t="s">
        <v>44</v>
      </c>
      <c r="C67" s="6" t="n">
        <v>246538.4</v>
      </c>
      <c r="D67" s="6" t="n">
        <v>43273534</v>
      </c>
    </row>
    <row r="68" customFormat="false" ht="17.25" hidden="false" customHeight="false" outlineLevel="0" collapsed="false">
      <c r="A68" s="7" t="n">
        <v>2026.03</v>
      </c>
      <c r="B68" s="5" t="s">
        <v>45</v>
      </c>
      <c r="C68" s="6" t="n">
        <v>1574925.9</v>
      </c>
      <c r="D68" s="6" t="n">
        <v>11782023</v>
      </c>
    </row>
    <row r="69" customFormat="false" ht="17.25" hidden="false" customHeight="false" outlineLevel="0" collapsed="false">
      <c r="A69" s="7" t="n">
        <v>2026.03</v>
      </c>
      <c r="B69" s="5" t="s">
        <v>46</v>
      </c>
      <c r="C69" s="6" t="n">
        <v>76663</v>
      </c>
      <c r="D69" s="6" t="n">
        <v>2212470</v>
      </c>
    </row>
    <row r="70" customFormat="false" ht="17.25" hidden="false" customHeight="false" outlineLevel="0" collapsed="false">
      <c r="A70" s="7" t="n">
        <v>2026.04</v>
      </c>
      <c r="B70" s="7" t="s">
        <v>26</v>
      </c>
      <c r="C70" s="6" t="n">
        <v>399815.7</v>
      </c>
      <c r="D70" s="6" t="n">
        <v>1206533</v>
      </c>
    </row>
    <row r="71" customFormat="false" ht="17.25" hidden="false" customHeight="false" outlineLevel="0" collapsed="false">
      <c r="A71" s="7" t="n">
        <v>2026.04</v>
      </c>
      <c r="B71" s="7" t="s">
        <v>27</v>
      </c>
      <c r="C71" s="6" t="n">
        <v>4376977.6</v>
      </c>
      <c r="D71" s="6" t="n">
        <v>6331952</v>
      </c>
    </row>
    <row r="72" customFormat="false" ht="17.25" hidden="false" customHeight="false" outlineLevel="0" collapsed="false">
      <c r="A72" s="7" t="n">
        <v>2026.04</v>
      </c>
      <c r="B72" s="7" t="s">
        <v>28</v>
      </c>
      <c r="C72" s="6" t="n">
        <v>960963.5</v>
      </c>
      <c r="D72" s="6" t="n">
        <v>3895477</v>
      </c>
    </row>
    <row r="73" customFormat="false" ht="17.25" hidden="false" customHeight="false" outlineLevel="0" collapsed="false">
      <c r="A73" s="7" t="n">
        <v>2026.04</v>
      </c>
      <c r="B73" s="5" t="s">
        <v>29</v>
      </c>
      <c r="C73" s="6" t="n">
        <v>56749.7</v>
      </c>
      <c r="D73" s="6" t="n">
        <v>90653</v>
      </c>
    </row>
    <row r="74" customFormat="false" ht="17.25" hidden="false" customHeight="false" outlineLevel="0" collapsed="false">
      <c r="A74" s="7" t="n">
        <v>2026.04</v>
      </c>
      <c r="B74" s="5" t="s">
        <v>30</v>
      </c>
      <c r="C74" s="6" t="n">
        <v>19571.7</v>
      </c>
      <c r="D74" s="6" t="n">
        <v>74276</v>
      </c>
    </row>
    <row r="75" customFormat="false" ht="17.25" hidden="false" customHeight="false" outlineLevel="0" collapsed="false">
      <c r="A75" s="7" t="n">
        <v>2026.04</v>
      </c>
      <c r="B75" s="5" t="s">
        <v>31</v>
      </c>
      <c r="C75" s="6" t="n">
        <v>30707.3</v>
      </c>
      <c r="D75" s="6" t="n">
        <v>311911</v>
      </c>
    </row>
    <row r="76" customFormat="false" ht="17.25" hidden="false" customHeight="false" outlineLevel="0" collapsed="false">
      <c r="A76" s="7" t="n">
        <v>2026.04</v>
      </c>
      <c r="B76" s="5" t="s">
        <v>32</v>
      </c>
      <c r="C76" s="6" t="n">
        <v>25284.7</v>
      </c>
      <c r="D76" s="6" t="n">
        <v>195708</v>
      </c>
    </row>
    <row r="77" customFormat="false" ht="17.25" hidden="false" customHeight="false" outlineLevel="0" collapsed="false">
      <c r="A77" s="7" t="n">
        <v>2026.04</v>
      </c>
      <c r="B77" s="5" t="s">
        <v>33</v>
      </c>
      <c r="C77" s="6" t="n">
        <v>6239.1</v>
      </c>
      <c r="D77" s="6" t="n">
        <v>217836</v>
      </c>
    </row>
    <row r="78" customFormat="false" ht="17.25" hidden="false" customHeight="false" outlineLevel="0" collapsed="false">
      <c r="A78" s="7" t="n">
        <v>2026.04</v>
      </c>
      <c r="B78" s="5" t="s">
        <v>34</v>
      </c>
      <c r="C78" s="6" t="n">
        <v>19885.2</v>
      </c>
      <c r="D78" s="6" t="n">
        <v>109054</v>
      </c>
    </row>
    <row r="79" customFormat="false" ht="17.25" hidden="false" customHeight="false" outlineLevel="0" collapsed="false">
      <c r="A79" s="7" t="n">
        <v>2026.04</v>
      </c>
      <c r="B79" s="5" t="s">
        <v>35</v>
      </c>
      <c r="C79" s="6" t="n">
        <v>79171.5</v>
      </c>
      <c r="D79" s="6" t="n">
        <v>441930</v>
      </c>
    </row>
    <row r="80" customFormat="false" ht="17.25" hidden="false" customHeight="false" outlineLevel="0" collapsed="false">
      <c r="A80" s="7" t="n">
        <v>2026.04</v>
      </c>
      <c r="B80" s="5" t="s">
        <v>36</v>
      </c>
      <c r="C80" s="6" t="n">
        <v>334.9</v>
      </c>
      <c r="D80" s="6" t="n">
        <v>1162460</v>
      </c>
    </row>
    <row r="81" customFormat="false" ht="17.25" hidden="false" customHeight="false" outlineLevel="0" collapsed="false">
      <c r="A81" s="7" t="n">
        <v>2026.04</v>
      </c>
      <c r="B81" s="5" t="s">
        <v>37</v>
      </c>
      <c r="C81" s="6" t="n">
        <v>302326.2</v>
      </c>
      <c r="D81" s="6" t="n">
        <v>189118</v>
      </c>
    </row>
    <row r="82" customFormat="false" ht="17.25" hidden="false" customHeight="false" outlineLevel="0" collapsed="false">
      <c r="A82" s="7" t="n">
        <v>2026.04</v>
      </c>
      <c r="B82" s="5" t="s">
        <v>38</v>
      </c>
      <c r="C82" s="6" t="n">
        <v>2821.8</v>
      </c>
      <c r="D82" s="6" t="n">
        <v>63109</v>
      </c>
    </row>
    <row r="83" customFormat="false" ht="17.25" hidden="false" customHeight="false" outlineLevel="0" collapsed="false">
      <c r="A83" s="7" t="n">
        <v>2026.04</v>
      </c>
      <c r="B83" s="5" t="s">
        <v>39</v>
      </c>
      <c r="C83" s="6" t="n">
        <v>417871.4</v>
      </c>
      <c r="D83" s="6" t="n">
        <v>1039421</v>
      </c>
    </row>
    <row r="84" customFormat="false" ht="17.25" hidden="false" customHeight="false" outlineLevel="0" collapsed="false">
      <c r="A84" s="7" t="n">
        <v>2026.04</v>
      </c>
      <c r="B84" s="7" t="s">
        <v>40</v>
      </c>
      <c r="C84" s="6" t="n">
        <v>8675947.4</v>
      </c>
      <c r="D84" s="6" t="n">
        <v>74317921</v>
      </c>
    </row>
    <row r="85" customFormat="false" ht="17.25" hidden="false" customHeight="false" outlineLevel="0" collapsed="false">
      <c r="A85" s="7" t="n">
        <v>2026.04</v>
      </c>
      <c r="B85" s="5" t="s">
        <v>41</v>
      </c>
      <c r="C85" s="6" t="n">
        <v>3371339.2</v>
      </c>
      <c r="D85" s="6" t="n">
        <v>7717531</v>
      </c>
    </row>
    <row r="86" customFormat="false" ht="17.25" hidden="false" customHeight="false" outlineLevel="0" collapsed="false">
      <c r="A86" s="7" t="n">
        <v>2026.04</v>
      </c>
      <c r="B86" s="5" t="s">
        <v>42</v>
      </c>
      <c r="C86" s="6" t="n">
        <v>2748832.8</v>
      </c>
      <c r="D86" s="6" t="n">
        <v>4322292</v>
      </c>
    </row>
    <row r="87" customFormat="false" ht="17.25" hidden="false" customHeight="false" outlineLevel="0" collapsed="false">
      <c r="A87" s="7" t="n">
        <v>2026.04</v>
      </c>
      <c r="B87" s="5" t="s">
        <v>43</v>
      </c>
      <c r="C87" s="6" t="n">
        <v>390518.9</v>
      </c>
      <c r="D87" s="6" t="n">
        <v>6269944</v>
      </c>
    </row>
    <row r="88" customFormat="false" ht="17.25" hidden="false" customHeight="false" outlineLevel="0" collapsed="false">
      <c r="A88" s="7" t="n">
        <v>2026.04</v>
      </c>
      <c r="B88" s="5" t="s">
        <v>44</v>
      </c>
      <c r="C88" s="6" t="n">
        <v>238562.2</v>
      </c>
      <c r="D88" s="6" t="n">
        <v>42506536</v>
      </c>
    </row>
    <row r="89" customFormat="false" ht="17.25" hidden="false" customHeight="false" outlineLevel="0" collapsed="false">
      <c r="A89" s="7" t="n">
        <v>2026.04</v>
      </c>
      <c r="B89" s="5" t="s">
        <v>45</v>
      </c>
      <c r="C89" s="6" t="n">
        <v>1838433.6</v>
      </c>
      <c r="D89" s="6" t="n">
        <v>11192081</v>
      </c>
    </row>
    <row r="90" customFormat="false" ht="17.25" hidden="false" customHeight="false" outlineLevel="0" collapsed="false">
      <c r="A90" s="7" t="n">
        <v>2026.04</v>
      </c>
      <c r="B90" s="5" t="s">
        <v>46</v>
      </c>
      <c r="C90" s="6" t="n">
        <v>88260.6</v>
      </c>
      <c r="D90" s="6" t="n">
        <v>2309537</v>
      </c>
    </row>
    <row r="91" customFormat="false" ht="17.25" hidden="false" customHeight="false" outlineLevel="0" collapsed="false">
      <c r="A91" s="7" t="n">
        <v>2026.05</v>
      </c>
      <c r="B91" s="7" t="s">
        <v>26</v>
      </c>
      <c r="C91" s="6" t="n">
        <v>409283.7</v>
      </c>
      <c r="D91" s="6" t="n">
        <v>1061105</v>
      </c>
    </row>
    <row r="92" customFormat="false" ht="17.25" hidden="false" customHeight="false" outlineLevel="0" collapsed="false">
      <c r="A92" s="7" t="n">
        <v>2026.05</v>
      </c>
      <c r="B92" s="7" t="s">
        <v>27</v>
      </c>
      <c r="C92" s="6" t="n">
        <v>5017898.7</v>
      </c>
      <c r="D92" s="6" t="n">
        <v>6401394</v>
      </c>
    </row>
    <row r="93" customFormat="false" ht="17.25" hidden="false" customHeight="false" outlineLevel="0" collapsed="false">
      <c r="A93" s="7" t="n">
        <v>2026.05</v>
      </c>
      <c r="B93" s="7" t="s">
        <v>28</v>
      </c>
      <c r="C93" s="6" t="n">
        <v>773688.5</v>
      </c>
      <c r="D93" s="6" t="n">
        <v>3869333</v>
      </c>
    </row>
    <row r="94" customFormat="false" ht="17.25" hidden="false" customHeight="false" outlineLevel="0" collapsed="false">
      <c r="A94" s="7" t="n">
        <v>2026.05</v>
      </c>
      <c r="B94" s="5" t="s">
        <v>29</v>
      </c>
      <c r="C94" s="6" t="n">
        <v>44654.7</v>
      </c>
      <c r="D94" s="6" t="n">
        <v>76424</v>
      </c>
    </row>
    <row r="95" customFormat="false" ht="17.25" hidden="false" customHeight="false" outlineLevel="0" collapsed="false">
      <c r="A95" s="7" t="n">
        <v>2026.05</v>
      </c>
      <c r="B95" s="5" t="s">
        <v>30</v>
      </c>
      <c r="C95" s="6" t="n">
        <v>16421.1</v>
      </c>
      <c r="D95" s="6" t="n">
        <v>63203</v>
      </c>
    </row>
    <row r="96" customFormat="false" ht="17.25" hidden="false" customHeight="false" outlineLevel="0" collapsed="false">
      <c r="A96" s="7" t="n">
        <v>2026.05</v>
      </c>
      <c r="B96" s="5" t="s">
        <v>31</v>
      </c>
      <c r="C96" s="6" t="n">
        <v>26338</v>
      </c>
      <c r="D96" s="6" t="n">
        <v>254533</v>
      </c>
    </row>
    <row r="97" customFormat="false" ht="17.25" hidden="false" customHeight="false" outlineLevel="0" collapsed="false">
      <c r="A97" s="7" t="n">
        <v>2026.05</v>
      </c>
      <c r="B97" s="5" t="s">
        <v>32</v>
      </c>
      <c r="C97" s="6" t="n">
        <v>19319.8</v>
      </c>
      <c r="D97" s="6" t="n">
        <v>156237</v>
      </c>
    </row>
    <row r="98" customFormat="false" ht="17.25" hidden="false" customHeight="false" outlineLevel="0" collapsed="false">
      <c r="A98" s="7" t="n">
        <v>2026.05</v>
      </c>
      <c r="B98" s="5" t="s">
        <v>33</v>
      </c>
      <c r="C98" s="6" t="n">
        <v>5468.4</v>
      </c>
      <c r="D98" s="6" t="n">
        <v>162835</v>
      </c>
    </row>
    <row r="99" customFormat="false" ht="17.25" hidden="false" customHeight="false" outlineLevel="0" collapsed="false">
      <c r="A99" s="7" t="n">
        <v>2026.05</v>
      </c>
      <c r="B99" s="5" t="s">
        <v>34</v>
      </c>
      <c r="C99" s="6" t="n">
        <v>16213.9</v>
      </c>
      <c r="D99" s="6" t="n">
        <v>87103</v>
      </c>
    </row>
    <row r="100" customFormat="false" ht="17.25" hidden="false" customHeight="false" outlineLevel="0" collapsed="false">
      <c r="A100" s="7" t="n">
        <v>2026.05</v>
      </c>
      <c r="B100" s="5" t="s">
        <v>35</v>
      </c>
      <c r="C100" s="6" t="n">
        <v>77035.7</v>
      </c>
      <c r="D100" s="6" t="n">
        <v>448961</v>
      </c>
    </row>
    <row r="101" customFormat="false" ht="17.25" hidden="false" customHeight="false" outlineLevel="0" collapsed="false">
      <c r="A101" s="7" t="n">
        <v>2026.05</v>
      </c>
      <c r="B101" s="5" t="s">
        <v>36</v>
      </c>
      <c r="C101" s="6" t="n">
        <v>312.2</v>
      </c>
      <c r="D101" s="6" t="n">
        <v>1476718</v>
      </c>
    </row>
    <row r="102" customFormat="false" ht="17.25" hidden="false" customHeight="false" outlineLevel="0" collapsed="false">
      <c r="A102" s="7" t="n">
        <v>2026.05</v>
      </c>
      <c r="B102" s="5" t="s">
        <v>37</v>
      </c>
      <c r="C102" s="6" t="n">
        <v>215029</v>
      </c>
      <c r="D102" s="6" t="n">
        <v>180349</v>
      </c>
    </row>
    <row r="103" customFormat="false" ht="17.25" hidden="false" customHeight="false" outlineLevel="0" collapsed="false">
      <c r="A103" s="7" t="n">
        <v>2026.05</v>
      </c>
      <c r="B103" s="5" t="s">
        <v>38</v>
      </c>
      <c r="C103" s="6" t="n">
        <v>2392.7</v>
      </c>
      <c r="D103" s="6" t="n">
        <v>61502</v>
      </c>
    </row>
    <row r="104" customFormat="false" ht="17.25" hidden="false" customHeight="false" outlineLevel="0" collapsed="false">
      <c r="A104" s="7" t="n">
        <v>2026.05</v>
      </c>
      <c r="B104" s="5" t="s">
        <v>39</v>
      </c>
      <c r="C104" s="6" t="n">
        <v>350502.9</v>
      </c>
      <c r="D104" s="6" t="n">
        <v>901466</v>
      </c>
    </row>
    <row r="105" customFormat="false" ht="17.25" hidden="false" customHeight="false" outlineLevel="0" collapsed="false">
      <c r="A105" s="7" t="n">
        <v>2026.05</v>
      </c>
      <c r="B105" s="7" t="s">
        <v>40</v>
      </c>
      <c r="C105" s="6" t="n">
        <v>7388640.5</v>
      </c>
      <c r="D105" s="6" t="n">
        <v>76244252</v>
      </c>
    </row>
    <row r="106" customFormat="false" ht="17.25" hidden="false" customHeight="false" outlineLevel="0" collapsed="false">
      <c r="A106" s="7" t="n">
        <v>2026.05</v>
      </c>
      <c r="B106" s="5" t="s">
        <v>41</v>
      </c>
      <c r="C106" s="6" t="n">
        <v>2875832.4</v>
      </c>
      <c r="D106" s="6" t="n">
        <v>6994558</v>
      </c>
    </row>
    <row r="107" customFormat="false" ht="17.25" hidden="false" customHeight="false" outlineLevel="0" collapsed="false">
      <c r="A107" s="7" t="n">
        <v>2026.05</v>
      </c>
      <c r="B107" s="5" t="s">
        <v>42</v>
      </c>
      <c r="C107" s="6" t="n">
        <v>2599537.2</v>
      </c>
      <c r="D107" s="6" t="n">
        <v>4041314</v>
      </c>
    </row>
    <row r="108" customFormat="false" ht="17.25" hidden="false" customHeight="false" outlineLevel="0" collapsed="false">
      <c r="A108" s="7" t="n">
        <v>2026.05</v>
      </c>
      <c r="B108" s="5" t="s">
        <v>43</v>
      </c>
      <c r="C108" s="6" t="n">
        <v>341403</v>
      </c>
      <c r="D108" s="6" t="n">
        <v>5585218</v>
      </c>
    </row>
    <row r="109" customFormat="false" ht="17.25" hidden="false" customHeight="false" outlineLevel="0" collapsed="false">
      <c r="A109" s="7" t="n">
        <v>2026.05</v>
      </c>
      <c r="B109" s="5" t="s">
        <v>44</v>
      </c>
      <c r="C109" s="6" t="n">
        <v>205999</v>
      </c>
      <c r="D109" s="6" t="n">
        <v>47618590</v>
      </c>
    </row>
    <row r="110" customFormat="false" ht="17.25" hidden="false" customHeight="false" outlineLevel="0" collapsed="false">
      <c r="A110" s="7" t="n">
        <v>2026.05</v>
      </c>
      <c r="B110" s="5" t="s">
        <v>45</v>
      </c>
      <c r="C110" s="6" t="n">
        <v>1288948.3</v>
      </c>
      <c r="D110" s="6" t="n">
        <v>10090952</v>
      </c>
    </row>
    <row r="111" customFormat="false" ht="17.25" hidden="false" customHeight="false" outlineLevel="0" collapsed="false">
      <c r="A111" s="7" t="n">
        <v>2026.05</v>
      </c>
      <c r="B111" s="5" t="s">
        <v>46</v>
      </c>
      <c r="C111" s="6" t="n">
        <v>76920.6</v>
      </c>
      <c r="D111" s="6" t="n">
        <v>1913620</v>
      </c>
    </row>
    <row r="112" customFormat="false" ht="17.25" hidden="false" customHeight="false" outlineLevel="0" collapsed="false">
      <c r="A112" s="7" t="n">
        <v>2026.06</v>
      </c>
      <c r="B112" s="7" t="s">
        <v>26</v>
      </c>
      <c r="C112" s="6" t="n">
        <v>380663</v>
      </c>
      <c r="D112" s="6" t="n">
        <v>1152581</v>
      </c>
    </row>
    <row r="113" customFormat="false" ht="17.25" hidden="false" customHeight="false" outlineLevel="0" collapsed="false">
      <c r="A113" s="7" t="n">
        <v>2026.06</v>
      </c>
      <c r="B113" s="7" t="s">
        <v>27</v>
      </c>
      <c r="C113" s="6" t="n">
        <v>5836548.7</v>
      </c>
      <c r="D113" s="6" t="n">
        <v>6608418</v>
      </c>
    </row>
    <row r="114" customFormat="false" ht="17.25" hidden="false" customHeight="false" outlineLevel="0" collapsed="false">
      <c r="A114" s="7" t="n">
        <v>2026.06</v>
      </c>
      <c r="B114" s="7" t="s">
        <v>28</v>
      </c>
      <c r="C114" s="6" t="n">
        <v>852504.7</v>
      </c>
      <c r="D114" s="6" t="n">
        <v>4060373</v>
      </c>
    </row>
    <row r="115" customFormat="false" ht="17.25" hidden="false" customHeight="false" outlineLevel="0" collapsed="false">
      <c r="A115" s="7" t="n">
        <v>2026.06</v>
      </c>
      <c r="B115" s="5" t="s">
        <v>29</v>
      </c>
      <c r="C115" s="6" t="n">
        <v>48120.7</v>
      </c>
      <c r="D115" s="6" t="n">
        <v>79180</v>
      </c>
    </row>
    <row r="116" customFormat="false" ht="17.25" hidden="false" customHeight="false" outlineLevel="0" collapsed="false">
      <c r="A116" s="7" t="n">
        <v>2026.06</v>
      </c>
      <c r="B116" s="5" t="s">
        <v>30</v>
      </c>
      <c r="C116" s="6" t="n">
        <v>16588.1</v>
      </c>
      <c r="D116" s="6" t="n">
        <v>65475</v>
      </c>
    </row>
    <row r="117" customFormat="false" ht="17.25" hidden="false" customHeight="false" outlineLevel="0" collapsed="false">
      <c r="A117" s="7" t="n">
        <v>2026.06</v>
      </c>
      <c r="B117" s="5" t="s">
        <v>31</v>
      </c>
      <c r="C117" s="6" t="n">
        <v>28814.2</v>
      </c>
      <c r="D117" s="6" t="n">
        <v>282353</v>
      </c>
    </row>
    <row r="118" customFormat="false" ht="17.25" hidden="false" customHeight="false" outlineLevel="0" collapsed="false">
      <c r="A118" s="7" t="n">
        <v>2026.06</v>
      </c>
      <c r="B118" s="5" t="s">
        <v>32</v>
      </c>
      <c r="C118" s="6" t="n">
        <v>22985.5</v>
      </c>
      <c r="D118" s="6" t="n">
        <v>182081</v>
      </c>
    </row>
    <row r="119" customFormat="false" ht="17.25" hidden="false" customHeight="false" outlineLevel="0" collapsed="false">
      <c r="A119" s="7" t="n">
        <v>2026.06</v>
      </c>
      <c r="B119" s="5" t="s">
        <v>33</v>
      </c>
      <c r="C119" s="6" t="n">
        <v>5901.6</v>
      </c>
      <c r="D119" s="6" t="n">
        <v>191947</v>
      </c>
    </row>
    <row r="120" customFormat="false" ht="17.25" hidden="false" customHeight="false" outlineLevel="0" collapsed="false">
      <c r="A120" s="7" t="n">
        <v>2026.06</v>
      </c>
      <c r="B120" s="5" t="s">
        <v>34</v>
      </c>
      <c r="C120" s="6" t="n">
        <v>17534.2</v>
      </c>
      <c r="D120" s="6" t="n">
        <v>95170</v>
      </c>
    </row>
    <row r="121" customFormat="false" ht="17.25" hidden="false" customHeight="false" outlineLevel="0" collapsed="false">
      <c r="A121" s="7" t="n">
        <v>2026.06</v>
      </c>
      <c r="B121" s="5" t="s">
        <v>35</v>
      </c>
      <c r="C121" s="6" t="n">
        <v>82077.8</v>
      </c>
      <c r="D121" s="6" t="n">
        <v>485126</v>
      </c>
    </row>
    <row r="122" customFormat="false" ht="17.25" hidden="false" customHeight="false" outlineLevel="0" collapsed="false">
      <c r="A122" s="7" t="n">
        <v>2026.06</v>
      </c>
      <c r="B122" s="5" t="s">
        <v>36</v>
      </c>
      <c r="C122" s="6" t="n">
        <v>320</v>
      </c>
      <c r="D122" s="6" t="n">
        <v>1382987</v>
      </c>
    </row>
    <row r="123" customFormat="false" ht="17.25" hidden="false" customHeight="false" outlineLevel="0" collapsed="false">
      <c r="A123" s="7" t="n">
        <v>2026.06</v>
      </c>
      <c r="B123" s="5" t="s">
        <v>37</v>
      </c>
      <c r="C123" s="6" t="n">
        <v>242528.6</v>
      </c>
      <c r="D123" s="6" t="n">
        <v>204808</v>
      </c>
    </row>
    <row r="124" customFormat="false" ht="17.25" hidden="false" customHeight="false" outlineLevel="0" collapsed="false">
      <c r="A124" s="7" t="n">
        <v>2026.06</v>
      </c>
      <c r="B124" s="5" t="s">
        <v>38</v>
      </c>
      <c r="C124" s="6" t="n">
        <v>2732.9</v>
      </c>
      <c r="D124" s="6" t="n">
        <v>71410</v>
      </c>
    </row>
    <row r="125" customFormat="false" ht="17.25" hidden="false" customHeight="false" outlineLevel="0" collapsed="false">
      <c r="A125" s="7" t="n">
        <v>2026.06</v>
      </c>
      <c r="B125" s="5" t="s">
        <v>39</v>
      </c>
      <c r="C125" s="6" t="n">
        <v>384901.2</v>
      </c>
      <c r="D125" s="6" t="n">
        <v>1019834</v>
      </c>
    </row>
    <row r="126" customFormat="false" ht="17.25" hidden="false" customHeight="false" outlineLevel="0" collapsed="false">
      <c r="A126" s="7" t="n">
        <v>2026.06</v>
      </c>
      <c r="B126" s="7" t="s">
        <v>40</v>
      </c>
      <c r="C126" s="6" t="n">
        <v>8618209.4</v>
      </c>
      <c r="D126" s="6" t="n">
        <v>90134786</v>
      </c>
    </row>
    <row r="127" customFormat="false" ht="17.25" hidden="false" customHeight="false" outlineLevel="0" collapsed="false">
      <c r="A127" s="7" t="n">
        <v>2026.06</v>
      </c>
      <c r="B127" s="5" t="s">
        <v>41</v>
      </c>
      <c r="C127" s="6" t="n">
        <v>3306851.5</v>
      </c>
      <c r="D127" s="6" t="n">
        <v>7870038</v>
      </c>
    </row>
    <row r="128" customFormat="false" ht="17.25" hidden="false" customHeight="false" outlineLevel="0" collapsed="false">
      <c r="A128" s="7" t="n">
        <v>2026.06</v>
      </c>
      <c r="B128" s="5" t="s">
        <v>42</v>
      </c>
      <c r="C128" s="6" t="n">
        <v>2735230.3</v>
      </c>
      <c r="D128" s="6" t="n">
        <v>4351286</v>
      </c>
    </row>
    <row r="129" customFormat="false" ht="17.25" hidden="false" customHeight="false" outlineLevel="0" collapsed="false">
      <c r="A129" s="7" t="n">
        <v>2026.06</v>
      </c>
      <c r="B129" s="5" t="s">
        <v>43</v>
      </c>
      <c r="C129" s="6" t="n">
        <v>368574.7</v>
      </c>
      <c r="D129" s="6" t="n">
        <v>6547312</v>
      </c>
    </row>
    <row r="130" customFormat="false" ht="17.25" hidden="false" customHeight="false" outlineLevel="0" collapsed="false">
      <c r="A130" s="7" t="n">
        <v>2026.06</v>
      </c>
      <c r="B130" s="5" t="s">
        <v>44</v>
      </c>
      <c r="C130" s="6" t="n">
        <v>243016.2</v>
      </c>
      <c r="D130" s="6" t="n">
        <v>57127600</v>
      </c>
    </row>
    <row r="131" customFormat="false" ht="17.25" hidden="false" customHeight="false" outlineLevel="0" collapsed="false">
      <c r="A131" s="7" t="n">
        <v>2026.06</v>
      </c>
      <c r="B131" s="5" t="s">
        <v>45</v>
      </c>
      <c r="C131" s="6" t="n">
        <v>1878428.6</v>
      </c>
      <c r="D131" s="6" t="n">
        <v>11460161</v>
      </c>
    </row>
    <row r="132" customFormat="false" ht="17.25" hidden="false" customHeight="false" outlineLevel="0" collapsed="false">
      <c r="A132" s="7" t="n">
        <v>2026.06</v>
      </c>
      <c r="B132" s="5" t="s">
        <v>46</v>
      </c>
      <c r="C132" s="6" t="n">
        <v>86108.1</v>
      </c>
      <c r="D132" s="6" t="n">
        <v>2778389</v>
      </c>
    </row>
    <row r="133" customFormat="false" ht="17.25" hidden="false" customHeight="false" outlineLevel="0" collapsed="false">
      <c r="A133" s="7" t="n">
        <v>2026.07</v>
      </c>
      <c r="B133" s="7" t="s">
        <v>26</v>
      </c>
      <c r="C133" s="6" t="n">
        <v>359216.8</v>
      </c>
      <c r="D133" s="6" t="n">
        <v>1081841</v>
      </c>
    </row>
    <row r="134" customFormat="false" ht="17.25" hidden="false" customHeight="false" outlineLevel="0" collapsed="false">
      <c r="A134" s="7" t="n">
        <v>2026.07</v>
      </c>
      <c r="B134" s="7" t="s">
        <v>27</v>
      </c>
      <c r="C134" s="6" t="n">
        <v>6429139.7</v>
      </c>
      <c r="D134" s="6" t="n">
        <v>6896402</v>
      </c>
    </row>
    <row r="135" customFormat="false" ht="17.25" hidden="false" customHeight="false" outlineLevel="0" collapsed="false">
      <c r="A135" s="7" t="n">
        <v>2026.07</v>
      </c>
      <c r="B135" s="7" t="s">
        <v>28</v>
      </c>
      <c r="C135" s="6" t="n">
        <v>1002847.2</v>
      </c>
      <c r="D135" s="6" t="n">
        <v>3778039</v>
      </c>
    </row>
    <row r="136" customFormat="false" ht="17.25" hidden="false" customHeight="false" outlineLevel="0" collapsed="false">
      <c r="A136" s="7" t="n">
        <v>2026.07</v>
      </c>
      <c r="B136" s="5" t="s">
        <v>29</v>
      </c>
      <c r="C136" s="6" t="n">
        <v>44991.5</v>
      </c>
      <c r="D136" s="6" t="n">
        <v>77156</v>
      </c>
    </row>
    <row r="137" customFormat="false" ht="17.25" hidden="false" customHeight="false" outlineLevel="0" collapsed="false">
      <c r="A137" s="7" t="n">
        <v>2026.07</v>
      </c>
      <c r="B137" s="5" t="s">
        <v>30</v>
      </c>
      <c r="C137" s="6" t="n">
        <v>17104</v>
      </c>
      <c r="D137" s="6" t="n">
        <v>66017</v>
      </c>
    </row>
    <row r="138" customFormat="false" ht="17.25" hidden="false" customHeight="false" outlineLevel="0" collapsed="false">
      <c r="A138" s="7" t="n">
        <v>2026.07</v>
      </c>
      <c r="B138" s="5" t="s">
        <v>31</v>
      </c>
      <c r="C138" s="6" t="n">
        <v>29551.4</v>
      </c>
      <c r="D138" s="6" t="n">
        <v>298501</v>
      </c>
    </row>
    <row r="139" customFormat="false" ht="17.25" hidden="false" customHeight="false" outlineLevel="0" collapsed="false">
      <c r="A139" s="7" t="n">
        <v>2026.07</v>
      </c>
      <c r="B139" s="5" t="s">
        <v>32</v>
      </c>
      <c r="C139" s="6" t="n">
        <v>23332.1</v>
      </c>
      <c r="D139" s="6" t="n">
        <v>184656</v>
      </c>
    </row>
    <row r="140" customFormat="false" ht="17.25" hidden="false" customHeight="false" outlineLevel="0" collapsed="false">
      <c r="A140" s="7" t="n">
        <v>2026.07</v>
      </c>
      <c r="B140" s="5" t="s">
        <v>33</v>
      </c>
      <c r="C140" s="6" t="n">
        <v>5370.8</v>
      </c>
      <c r="D140" s="6" t="n">
        <v>162057</v>
      </c>
    </row>
    <row r="141" customFormat="false" ht="17.25" hidden="false" customHeight="false" outlineLevel="0" collapsed="false">
      <c r="A141" s="7" t="n">
        <v>2026.07</v>
      </c>
      <c r="B141" s="5" t="s">
        <v>34</v>
      </c>
      <c r="C141" s="6" t="n">
        <v>18632.8</v>
      </c>
      <c r="D141" s="6" t="n">
        <v>111673</v>
      </c>
    </row>
    <row r="142" customFormat="false" ht="17.25" hidden="false" customHeight="false" outlineLevel="0" collapsed="false">
      <c r="A142" s="7" t="n">
        <v>2026.07</v>
      </c>
      <c r="B142" s="5" t="s">
        <v>35</v>
      </c>
      <c r="C142" s="6" t="n">
        <v>85857.1</v>
      </c>
      <c r="D142" s="6" t="n">
        <v>485169</v>
      </c>
    </row>
    <row r="143" customFormat="false" ht="17.25" hidden="false" customHeight="false" outlineLevel="0" collapsed="false">
      <c r="A143" s="7" t="n">
        <v>2026.07</v>
      </c>
      <c r="B143" s="5" t="s">
        <v>36</v>
      </c>
      <c r="C143" s="6" t="n">
        <v>334</v>
      </c>
      <c r="D143" s="6" t="n">
        <v>1011215</v>
      </c>
    </row>
    <row r="144" customFormat="false" ht="17.25" hidden="false" customHeight="false" outlineLevel="0" collapsed="false">
      <c r="A144" s="7" t="n">
        <v>2026.07</v>
      </c>
      <c r="B144" s="5" t="s">
        <v>37</v>
      </c>
      <c r="C144" s="6" t="n">
        <v>388439.2</v>
      </c>
      <c r="D144" s="6" t="n">
        <v>199569</v>
      </c>
    </row>
    <row r="145" customFormat="false" ht="17.25" hidden="false" customHeight="false" outlineLevel="0" collapsed="false">
      <c r="A145" s="7" t="n">
        <v>2026.07</v>
      </c>
      <c r="B145" s="5" t="s">
        <v>38</v>
      </c>
      <c r="C145" s="6" t="n">
        <v>2815.7</v>
      </c>
      <c r="D145" s="6" t="n">
        <v>68493</v>
      </c>
    </row>
    <row r="146" customFormat="false" ht="17.25" hidden="false" customHeight="false" outlineLevel="0" collapsed="false">
      <c r="A146" s="7" t="n">
        <v>2026.07</v>
      </c>
      <c r="B146" s="5" t="s">
        <v>39</v>
      </c>
      <c r="C146" s="6" t="n">
        <v>386418.6</v>
      </c>
      <c r="D146" s="6" t="n">
        <v>1113531</v>
      </c>
    </row>
    <row r="147" customFormat="false" ht="17.25" hidden="false" customHeight="false" outlineLevel="0" collapsed="false">
      <c r="A147" s="7" t="n">
        <v>2026.07</v>
      </c>
      <c r="B147" s="7" t="s">
        <v>40</v>
      </c>
      <c r="C147" s="6" t="n">
        <v>9869477</v>
      </c>
      <c r="D147" s="6" t="n">
        <v>87202818</v>
      </c>
    </row>
    <row r="148" customFormat="false" ht="17.25" hidden="false" customHeight="false" outlineLevel="0" collapsed="false">
      <c r="A148" s="7" t="n">
        <v>2026.07</v>
      </c>
      <c r="B148" s="5" t="s">
        <v>41</v>
      </c>
      <c r="C148" s="6" t="n">
        <v>3920870.8</v>
      </c>
      <c r="D148" s="6" t="n">
        <v>7980842</v>
      </c>
    </row>
    <row r="149" customFormat="false" ht="17.25" hidden="false" customHeight="false" outlineLevel="0" collapsed="false">
      <c r="A149" s="7" t="n">
        <v>2026.07</v>
      </c>
      <c r="B149" s="5" t="s">
        <v>42</v>
      </c>
      <c r="C149" s="6" t="n">
        <v>3062013.6</v>
      </c>
      <c r="D149" s="6" t="n">
        <v>4661963</v>
      </c>
    </row>
    <row r="150" customFormat="false" ht="17.25" hidden="false" customHeight="false" outlineLevel="0" collapsed="false">
      <c r="A150" s="7" t="n">
        <v>2026.07</v>
      </c>
      <c r="B150" s="5" t="s">
        <v>43</v>
      </c>
      <c r="C150" s="6" t="n">
        <v>437920.3</v>
      </c>
      <c r="D150" s="6" t="n">
        <v>6861427</v>
      </c>
    </row>
    <row r="151" customFormat="false" ht="17.25" hidden="false" customHeight="false" outlineLevel="0" collapsed="false">
      <c r="A151" s="7" t="n">
        <v>2026.07</v>
      </c>
      <c r="B151" s="5" t="s">
        <v>44</v>
      </c>
      <c r="C151" s="6" t="n">
        <v>257766.6</v>
      </c>
      <c r="D151" s="6" t="n">
        <v>53312084</v>
      </c>
    </row>
    <row r="152" customFormat="false" ht="17.25" hidden="false" customHeight="false" outlineLevel="0" collapsed="false">
      <c r="A152" s="7" t="n">
        <v>2026.07</v>
      </c>
      <c r="B152" s="5" t="s">
        <v>45</v>
      </c>
      <c r="C152" s="6" t="n">
        <v>2101545.3</v>
      </c>
      <c r="D152" s="6" t="n">
        <v>11661068</v>
      </c>
    </row>
    <row r="153" customFormat="false" ht="17.25" hidden="false" customHeight="false" outlineLevel="0" collapsed="false">
      <c r="A153" s="7" t="n">
        <v>2026.07</v>
      </c>
      <c r="B153" s="5" t="s">
        <v>46</v>
      </c>
      <c r="C153" s="6" t="n">
        <v>89360.5</v>
      </c>
      <c r="D153" s="6" t="n">
        <v>2725433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390625" defaultRowHeight="17.2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31.2"/>
    <col collapsed="false" customWidth="true" hidden="false" outlineLevel="0" max="4" min="3" style="1" width="23.5"/>
  </cols>
  <sheetData>
    <row r="1" customFormat="false" ht="45" hidden="false" customHeight="true" outlineLevel="0" collapsed="false">
      <c r="A1" s="2" t="s">
        <v>47</v>
      </c>
      <c r="B1" s="2"/>
      <c r="C1" s="2"/>
      <c r="D1" s="2"/>
    </row>
    <row r="3" customFormat="false" ht="17.25" hidden="false" customHeight="false" outlineLevel="0" collapsed="false">
      <c r="A3" s="3" t="s">
        <v>48</v>
      </c>
    </row>
    <row r="5" customFormat="false" ht="17.25" hidden="false" customHeight="false" outlineLevel="0" collapsed="false">
      <c r="A5" s="4" t="s">
        <v>3</v>
      </c>
      <c r="B5" s="4" t="s">
        <v>49</v>
      </c>
      <c r="C5" s="4" t="s">
        <v>6</v>
      </c>
      <c r="D5" s="4" t="s">
        <v>7</v>
      </c>
    </row>
    <row r="6" customFormat="false" ht="17.25" hidden="false" customHeight="false" outlineLevel="0" collapsed="false">
      <c r="A6" s="5" t="s">
        <v>12</v>
      </c>
      <c r="B6" s="7"/>
      <c r="C6" s="9" t="n">
        <v>109873539.6</v>
      </c>
      <c r="D6" s="10" t="n">
        <v>595062835</v>
      </c>
    </row>
    <row r="7" customFormat="false" ht="17.25" hidden="false" customHeight="false" outlineLevel="0" collapsed="false">
      <c r="A7" s="7" t="n">
        <v>2026.01</v>
      </c>
      <c r="B7" s="7" t="s">
        <v>50</v>
      </c>
      <c r="C7" s="9" t="n">
        <v>853755.8</v>
      </c>
      <c r="D7" s="10" t="n">
        <v>7671931</v>
      </c>
    </row>
    <row r="8" customFormat="false" ht="17.25" hidden="false" customHeight="false" outlineLevel="0" collapsed="false">
      <c r="A8" s="7" t="n">
        <v>2026.01</v>
      </c>
      <c r="B8" s="5" t="s">
        <v>51</v>
      </c>
      <c r="C8" s="9" t="n">
        <v>266496</v>
      </c>
      <c r="D8" s="10" t="n">
        <v>974471</v>
      </c>
    </row>
    <row r="9" customFormat="false" ht="17.25" hidden="false" customHeight="false" outlineLevel="0" collapsed="false">
      <c r="A9" s="7" t="n">
        <v>2026.01</v>
      </c>
      <c r="B9" s="5" t="s">
        <v>52</v>
      </c>
      <c r="C9" s="9" t="n">
        <v>433897.1</v>
      </c>
      <c r="D9" s="10" t="n">
        <v>5005260</v>
      </c>
    </row>
    <row r="10" customFormat="false" ht="17.25" hidden="false" customHeight="false" outlineLevel="0" collapsed="false">
      <c r="A10" s="7" t="n">
        <v>2026.01</v>
      </c>
      <c r="B10" s="5" t="s">
        <v>53</v>
      </c>
      <c r="C10" s="9" t="n">
        <v>150326.8</v>
      </c>
      <c r="D10" s="10" t="n">
        <v>1688959</v>
      </c>
    </row>
    <row r="11" customFormat="false" ht="17.25" hidden="false" customHeight="false" outlineLevel="0" collapsed="false">
      <c r="A11" s="7" t="n">
        <v>2026.01</v>
      </c>
      <c r="B11" s="5" t="s">
        <v>54</v>
      </c>
      <c r="C11" s="9" t="n">
        <v>3036</v>
      </c>
      <c r="D11" s="10" t="n">
        <v>3241</v>
      </c>
    </row>
    <row r="12" customFormat="false" ht="17.25" hidden="false" customHeight="false" outlineLevel="0" collapsed="false">
      <c r="A12" s="7" t="n">
        <v>2026.01</v>
      </c>
      <c r="B12" s="7" t="s">
        <v>55</v>
      </c>
      <c r="C12" s="9" t="n">
        <v>14117543.1</v>
      </c>
      <c r="D12" s="10" t="n">
        <v>16383039</v>
      </c>
    </row>
    <row r="13" customFormat="false" ht="17.25" hidden="false" customHeight="false" outlineLevel="0" collapsed="false">
      <c r="A13" s="7" t="n">
        <v>2026.01</v>
      </c>
      <c r="B13" s="5" t="s">
        <v>56</v>
      </c>
      <c r="C13" s="9" t="n">
        <v>328095</v>
      </c>
      <c r="D13" s="10" t="n">
        <v>417054</v>
      </c>
    </row>
    <row r="14" customFormat="false" ht="17.25" hidden="false" customHeight="false" outlineLevel="0" collapsed="false">
      <c r="A14" s="7" t="n">
        <v>2026.01</v>
      </c>
      <c r="B14" s="5" t="s">
        <v>57</v>
      </c>
      <c r="C14" s="9" t="n">
        <v>113458.2</v>
      </c>
      <c r="D14" s="10" t="n">
        <v>546437</v>
      </c>
    </row>
    <row r="15" customFormat="false" ht="17.25" hidden="false" customHeight="false" outlineLevel="0" collapsed="false">
      <c r="A15" s="7" t="n">
        <v>2026.01</v>
      </c>
      <c r="B15" s="5" t="s">
        <v>58</v>
      </c>
      <c r="C15" s="9" t="n">
        <v>6633846.6</v>
      </c>
      <c r="D15" s="10" t="n">
        <v>4965073</v>
      </c>
    </row>
    <row r="16" customFormat="false" ht="17.25" hidden="false" customHeight="false" outlineLevel="0" collapsed="false">
      <c r="A16" s="7" t="n">
        <v>2026.01</v>
      </c>
      <c r="B16" s="5" t="s">
        <v>59</v>
      </c>
      <c r="C16" s="9" t="n">
        <v>2721273.1</v>
      </c>
      <c r="D16" s="10" t="n">
        <v>3502462</v>
      </c>
    </row>
    <row r="17" customFormat="false" ht="17.25" hidden="false" customHeight="false" outlineLevel="0" collapsed="false">
      <c r="A17" s="7" t="n">
        <v>2026.01</v>
      </c>
      <c r="B17" s="5" t="s">
        <v>60</v>
      </c>
      <c r="C17" s="9" t="n">
        <v>4318942.3</v>
      </c>
      <c r="D17" s="10" t="n">
        <v>6944019</v>
      </c>
    </row>
    <row r="18" customFormat="false" ht="17.25" hidden="false" customHeight="false" outlineLevel="0" collapsed="false">
      <c r="A18" s="7" t="n">
        <v>2026.01</v>
      </c>
      <c r="B18" s="5" t="s">
        <v>61</v>
      </c>
      <c r="C18" s="9" t="n">
        <v>1927.9</v>
      </c>
      <c r="D18" s="10" t="n">
        <v>7994</v>
      </c>
    </row>
    <row r="19" customFormat="false" ht="17.25" hidden="false" customHeight="false" outlineLevel="0" collapsed="false">
      <c r="A19" s="7" t="n">
        <v>2026.01</v>
      </c>
      <c r="B19" s="7" t="s">
        <v>62</v>
      </c>
      <c r="C19" s="9" t="n">
        <v>1768648.8</v>
      </c>
      <c r="D19" s="10" t="n">
        <v>41788967</v>
      </c>
    </row>
    <row r="20" customFormat="false" ht="17.25" hidden="false" customHeight="false" outlineLevel="0" collapsed="false">
      <c r="A20" s="7" t="n">
        <v>2026.01</v>
      </c>
      <c r="B20" s="5" t="s">
        <v>63</v>
      </c>
      <c r="C20" s="9" t="n">
        <v>1107575.8</v>
      </c>
      <c r="D20" s="10" t="n">
        <v>6678955</v>
      </c>
    </row>
    <row r="21" customFormat="false" ht="17.25" hidden="false" customHeight="false" outlineLevel="0" collapsed="false">
      <c r="A21" s="7" t="n">
        <v>2026.01</v>
      </c>
      <c r="B21" s="5" t="s">
        <v>64</v>
      </c>
      <c r="C21" s="9" t="n">
        <v>618615.5</v>
      </c>
      <c r="D21" s="10" t="n">
        <v>8195778</v>
      </c>
    </row>
    <row r="22" customFormat="false" ht="17.25" hidden="false" customHeight="false" outlineLevel="0" collapsed="false">
      <c r="A22" s="7" t="n">
        <v>2026.01</v>
      </c>
      <c r="B22" s="5" t="s">
        <v>65</v>
      </c>
      <c r="C22" s="9" t="n">
        <v>11346.4</v>
      </c>
      <c r="D22" s="10" t="n">
        <v>4797650</v>
      </c>
    </row>
    <row r="23" customFormat="false" ht="17.25" hidden="false" customHeight="false" outlineLevel="0" collapsed="false">
      <c r="A23" s="7" t="n">
        <v>2026.01</v>
      </c>
      <c r="B23" s="5" t="s">
        <v>66</v>
      </c>
      <c r="C23" s="9" t="n">
        <v>31111.2</v>
      </c>
      <c r="D23" s="10" t="n">
        <v>22116584</v>
      </c>
    </row>
    <row r="24" customFormat="false" ht="17.25" hidden="false" customHeight="false" outlineLevel="0" collapsed="false">
      <c r="A24" s="7" t="n">
        <v>2026.02</v>
      </c>
      <c r="B24" s="7" t="s">
        <v>50</v>
      </c>
      <c r="C24" s="9" t="n">
        <v>746137.7</v>
      </c>
      <c r="D24" s="10" t="n">
        <v>6598332</v>
      </c>
    </row>
    <row r="25" customFormat="false" ht="17.25" hidden="false" customHeight="false" outlineLevel="0" collapsed="false">
      <c r="A25" s="7" t="n">
        <v>2026.02</v>
      </c>
      <c r="B25" s="5" t="s">
        <v>51</v>
      </c>
      <c r="C25" s="9" t="n">
        <v>251343.8</v>
      </c>
      <c r="D25" s="10" t="n">
        <v>884224</v>
      </c>
    </row>
    <row r="26" customFormat="false" ht="17.25" hidden="false" customHeight="false" outlineLevel="0" collapsed="false">
      <c r="A26" s="7" t="n">
        <v>2026.02</v>
      </c>
      <c r="B26" s="5" t="s">
        <v>52</v>
      </c>
      <c r="C26" s="9" t="n">
        <v>361468.3</v>
      </c>
      <c r="D26" s="10" t="n">
        <v>4228150</v>
      </c>
    </row>
    <row r="27" customFormat="false" ht="17.25" hidden="false" customHeight="false" outlineLevel="0" collapsed="false">
      <c r="A27" s="7" t="n">
        <v>2026.02</v>
      </c>
      <c r="B27" s="5" t="s">
        <v>53</v>
      </c>
      <c r="C27" s="9" t="n">
        <v>130942.1</v>
      </c>
      <c r="D27" s="10" t="n">
        <v>1482909</v>
      </c>
    </row>
    <row r="28" customFormat="false" ht="17.25" hidden="false" customHeight="false" outlineLevel="0" collapsed="false">
      <c r="A28" s="7" t="n">
        <v>2026.02</v>
      </c>
      <c r="B28" s="5" t="s">
        <v>54</v>
      </c>
      <c r="C28" s="9" t="n">
        <v>2383.5</v>
      </c>
      <c r="D28" s="10" t="n">
        <v>3050</v>
      </c>
    </row>
    <row r="29" customFormat="false" ht="17.25" hidden="false" customHeight="false" outlineLevel="0" collapsed="false">
      <c r="A29" s="7" t="n">
        <v>2026.02</v>
      </c>
      <c r="B29" s="7" t="s">
        <v>55</v>
      </c>
      <c r="C29" s="9" t="n">
        <v>13310575.9</v>
      </c>
      <c r="D29" s="10" t="n">
        <v>16305033</v>
      </c>
    </row>
    <row r="30" customFormat="false" ht="17.25" hidden="false" customHeight="false" outlineLevel="0" collapsed="false">
      <c r="A30" s="7" t="n">
        <v>2026.02</v>
      </c>
      <c r="B30" s="5" t="s">
        <v>56</v>
      </c>
      <c r="C30" s="9" t="n">
        <v>303465</v>
      </c>
      <c r="D30" s="10" t="n">
        <v>362450</v>
      </c>
    </row>
    <row r="31" customFormat="false" ht="17.25" hidden="false" customHeight="false" outlineLevel="0" collapsed="false">
      <c r="A31" s="7" t="n">
        <v>2026.02</v>
      </c>
      <c r="B31" s="5" t="s">
        <v>57</v>
      </c>
      <c r="C31" s="9" t="n">
        <v>103299.1</v>
      </c>
      <c r="D31" s="10" t="n">
        <v>468104</v>
      </c>
    </row>
    <row r="32" customFormat="false" ht="17.25" hidden="false" customHeight="false" outlineLevel="0" collapsed="false">
      <c r="A32" s="7" t="n">
        <v>2026.02</v>
      </c>
      <c r="B32" s="5" t="s">
        <v>58</v>
      </c>
      <c r="C32" s="9" t="n">
        <v>6300324.9</v>
      </c>
      <c r="D32" s="10" t="n">
        <v>5569123</v>
      </c>
    </row>
    <row r="33" customFormat="false" ht="17.25" hidden="false" customHeight="false" outlineLevel="0" collapsed="false">
      <c r="A33" s="7" t="n">
        <v>2026.02</v>
      </c>
      <c r="B33" s="5" t="s">
        <v>59</v>
      </c>
      <c r="C33" s="9" t="n">
        <v>2605941.9</v>
      </c>
      <c r="D33" s="10" t="n">
        <v>3259378</v>
      </c>
    </row>
    <row r="34" customFormat="false" ht="17.25" hidden="false" customHeight="false" outlineLevel="0" collapsed="false">
      <c r="A34" s="7" t="n">
        <v>2026.02</v>
      </c>
      <c r="B34" s="5" t="s">
        <v>60</v>
      </c>
      <c r="C34" s="9" t="n">
        <v>3996035.6</v>
      </c>
      <c r="D34" s="10" t="n">
        <v>6639199</v>
      </c>
    </row>
    <row r="35" customFormat="false" ht="17.25" hidden="false" customHeight="false" outlineLevel="0" collapsed="false">
      <c r="A35" s="7" t="n">
        <v>2026.02</v>
      </c>
      <c r="B35" s="5" t="s">
        <v>61</v>
      </c>
      <c r="C35" s="9" t="n">
        <v>1509.3</v>
      </c>
      <c r="D35" s="10" t="n">
        <v>6779</v>
      </c>
    </row>
    <row r="36" customFormat="false" ht="17.25" hidden="false" customHeight="false" outlineLevel="0" collapsed="false">
      <c r="A36" s="7" t="n">
        <v>2026.02</v>
      </c>
      <c r="B36" s="7" t="s">
        <v>62</v>
      </c>
      <c r="C36" s="9" t="n">
        <v>1544804.2</v>
      </c>
      <c r="D36" s="10" t="n">
        <v>44739182</v>
      </c>
    </row>
    <row r="37" customFormat="false" ht="17.25" hidden="false" customHeight="false" outlineLevel="0" collapsed="false">
      <c r="A37" s="7" t="n">
        <v>2026.02</v>
      </c>
      <c r="B37" s="5" t="s">
        <v>63</v>
      </c>
      <c r="C37" s="9" t="n">
        <v>959628.4</v>
      </c>
      <c r="D37" s="10" t="n">
        <v>5681103</v>
      </c>
    </row>
    <row r="38" customFormat="false" ht="17.25" hidden="false" customHeight="false" outlineLevel="0" collapsed="false">
      <c r="A38" s="7" t="n">
        <v>2026.02</v>
      </c>
      <c r="B38" s="5" t="s">
        <v>64</v>
      </c>
      <c r="C38" s="9" t="n">
        <v>547548.6</v>
      </c>
      <c r="D38" s="10" t="n">
        <v>7476200</v>
      </c>
    </row>
    <row r="39" customFormat="false" ht="17.25" hidden="false" customHeight="false" outlineLevel="0" collapsed="false">
      <c r="A39" s="7" t="n">
        <v>2026.02</v>
      </c>
      <c r="B39" s="5" t="s">
        <v>65</v>
      </c>
      <c r="C39" s="9" t="n">
        <v>10520.7</v>
      </c>
      <c r="D39" s="10" t="n">
        <v>5117377</v>
      </c>
    </row>
    <row r="40" customFormat="false" ht="17.25" hidden="false" customHeight="false" outlineLevel="0" collapsed="false">
      <c r="A40" s="7" t="n">
        <v>2026.02</v>
      </c>
      <c r="B40" s="5" t="s">
        <v>66</v>
      </c>
      <c r="C40" s="9" t="n">
        <v>27106.5</v>
      </c>
      <c r="D40" s="10" t="n">
        <v>26464502</v>
      </c>
    </row>
    <row r="41" customFormat="false" ht="17.25" hidden="false" customHeight="false" outlineLevel="0" collapsed="false">
      <c r="A41" s="7" t="n">
        <v>2026.03</v>
      </c>
      <c r="B41" s="7" t="s">
        <v>50</v>
      </c>
      <c r="C41" s="9" t="n">
        <v>950937.5</v>
      </c>
      <c r="D41" s="10" t="n">
        <v>8402972</v>
      </c>
    </row>
    <row r="42" customFormat="false" ht="17.25" hidden="false" customHeight="false" outlineLevel="0" collapsed="false">
      <c r="A42" s="7" t="n">
        <v>2026.03</v>
      </c>
      <c r="B42" s="5" t="s">
        <v>51</v>
      </c>
      <c r="C42" s="9" t="n">
        <v>325629.2</v>
      </c>
      <c r="D42" s="10" t="n">
        <v>1097568</v>
      </c>
    </row>
    <row r="43" customFormat="false" ht="17.25" hidden="false" customHeight="false" outlineLevel="0" collapsed="false">
      <c r="A43" s="7" t="n">
        <v>2026.03</v>
      </c>
      <c r="B43" s="5" t="s">
        <v>52</v>
      </c>
      <c r="C43" s="9" t="n">
        <v>464167.8</v>
      </c>
      <c r="D43" s="10" t="n">
        <v>5399350</v>
      </c>
    </row>
    <row r="44" customFormat="false" ht="17.25" hidden="false" customHeight="false" outlineLevel="0" collapsed="false">
      <c r="A44" s="7" t="n">
        <v>2026.03</v>
      </c>
      <c r="B44" s="5" t="s">
        <v>53</v>
      </c>
      <c r="C44" s="9" t="n">
        <v>158982.6</v>
      </c>
      <c r="D44" s="10" t="n">
        <v>1902412</v>
      </c>
    </row>
    <row r="45" customFormat="false" ht="17.25" hidden="false" customHeight="false" outlineLevel="0" collapsed="false">
      <c r="A45" s="7" t="n">
        <v>2026.03</v>
      </c>
      <c r="B45" s="5" t="s">
        <v>54</v>
      </c>
      <c r="C45" s="9" t="n">
        <v>2157.8</v>
      </c>
      <c r="D45" s="10" t="n">
        <v>3641</v>
      </c>
    </row>
    <row r="46" customFormat="false" ht="17.25" hidden="false" customHeight="false" outlineLevel="0" collapsed="false">
      <c r="A46" s="7" t="n">
        <v>2026.03</v>
      </c>
      <c r="B46" s="7" t="s">
        <v>55</v>
      </c>
      <c r="C46" s="9" t="n">
        <v>13307413.1</v>
      </c>
      <c r="D46" s="10" t="n">
        <v>20857696</v>
      </c>
    </row>
    <row r="47" customFormat="false" ht="17.25" hidden="false" customHeight="false" outlineLevel="0" collapsed="false">
      <c r="A47" s="7" t="n">
        <v>2026.03</v>
      </c>
      <c r="B47" s="5" t="s">
        <v>56</v>
      </c>
      <c r="C47" s="9" t="n">
        <v>398557.6</v>
      </c>
      <c r="D47" s="10" t="n">
        <v>474814</v>
      </c>
    </row>
    <row r="48" customFormat="false" ht="17.25" hidden="false" customHeight="false" outlineLevel="0" collapsed="false">
      <c r="A48" s="7" t="n">
        <v>2026.03</v>
      </c>
      <c r="B48" s="5" t="s">
        <v>57</v>
      </c>
      <c r="C48" s="9" t="n">
        <v>126006.8</v>
      </c>
      <c r="D48" s="10" t="n">
        <v>574999</v>
      </c>
    </row>
    <row r="49" customFormat="false" ht="17.25" hidden="false" customHeight="false" outlineLevel="0" collapsed="false">
      <c r="A49" s="7" t="n">
        <v>2026.03</v>
      </c>
      <c r="B49" s="5" t="s">
        <v>58</v>
      </c>
      <c r="C49" s="9" t="n">
        <v>5823553.2</v>
      </c>
      <c r="D49" s="10" t="n">
        <v>8406373</v>
      </c>
    </row>
    <row r="50" customFormat="false" ht="17.25" hidden="false" customHeight="false" outlineLevel="0" collapsed="false">
      <c r="A50" s="7" t="n">
        <v>2026.03</v>
      </c>
      <c r="B50" s="5" t="s">
        <v>59</v>
      </c>
      <c r="C50" s="9" t="n">
        <v>2669111.8</v>
      </c>
      <c r="D50" s="10" t="n">
        <v>3576759</v>
      </c>
    </row>
    <row r="51" customFormat="false" ht="17.25" hidden="false" customHeight="false" outlineLevel="0" collapsed="false">
      <c r="A51" s="7" t="n">
        <v>2026.03</v>
      </c>
      <c r="B51" s="5" t="s">
        <v>60</v>
      </c>
      <c r="C51" s="9" t="n">
        <v>4287660.1</v>
      </c>
      <c r="D51" s="10" t="n">
        <v>7799370</v>
      </c>
    </row>
    <row r="52" customFormat="false" ht="17.25" hidden="false" customHeight="false" outlineLevel="0" collapsed="false">
      <c r="A52" s="7" t="n">
        <v>2026.03</v>
      </c>
      <c r="B52" s="5" t="s">
        <v>61</v>
      </c>
      <c r="C52" s="9" t="n">
        <v>2523.5</v>
      </c>
      <c r="D52" s="10" t="n">
        <v>25382</v>
      </c>
    </row>
    <row r="53" customFormat="false" ht="17.25" hidden="false" customHeight="false" outlineLevel="0" collapsed="false">
      <c r="A53" s="7" t="n">
        <v>2026.03</v>
      </c>
      <c r="B53" s="7" t="s">
        <v>62</v>
      </c>
      <c r="C53" s="9" t="n">
        <v>1921901.3</v>
      </c>
      <c r="D53" s="10" t="n">
        <v>58072460</v>
      </c>
    </row>
    <row r="54" customFormat="false" ht="17.25" hidden="false" customHeight="false" outlineLevel="0" collapsed="false">
      <c r="A54" s="7" t="n">
        <v>2026.03</v>
      </c>
      <c r="B54" s="5" t="s">
        <v>63</v>
      </c>
      <c r="C54" s="9" t="n">
        <v>1223928</v>
      </c>
      <c r="D54" s="10" t="n">
        <v>7938060</v>
      </c>
    </row>
    <row r="55" customFormat="false" ht="17.25" hidden="false" customHeight="false" outlineLevel="0" collapsed="false">
      <c r="A55" s="7" t="n">
        <v>2026.03</v>
      </c>
      <c r="B55" s="5" t="s">
        <v>64</v>
      </c>
      <c r="C55" s="9" t="n">
        <v>656574.2</v>
      </c>
      <c r="D55" s="10" t="n">
        <v>9292951</v>
      </c>
    </row>
    <row r="56" customFormat="false" ht="17.25" hidden="false" customHeight="false" outlineLevel="0" collapsed="false">
      <c r="A56" s="7" t="n">
        <v>2026.03</v>
      </c>
      <c r="B56" s="5" t="s">
        <v>65</v>
      </c>
      <c r="C56" s="9" t="n">
        <v>11589</v>
      </c>
      <c r="D56" s="10" t="n">
        <v>6460687</v>
      </c>
    </row>
    <row r="57" customFormat="false" ht="17.25" hidden="false" customHeight="false" outlineLevel="0" collapsed="false">
      <c r="A57" s="7" t="n">
        <v>2026.03</v>
      </c>
      <c r="B57" s="5" t="s">
        <v>66</v>
      </c>
      <c r="C57" s="9" t="n">
        <v>29810.2</v>
      </c>
      <c r="D57" s="10" t="n">
        <v>34380761</v>
      </c>
    </row>
    <row r="58" customFormat="false" ht="17.25" hidden="false" customHeight="false" outlineLevel="0" collapsed="false">
      <c r="A58" s="7" t="n">
        <v>2026.04</v>
      </c>
      <c r="B58" s="7" t="s">
        <v>50</v>
      </c>
      <c r="C58" s="9" t="n">
        <v>995431.2</v>
      </c>
      <c r="D58" s="10" t="n">
        <v>8692026</v>
      </c>
    </row>
    <row r="59" customFormat="false" ht="17.25" hidden="false" customHeight="false" outlineLevel="0" collapsed="false">
      <c r="A59" s="7" t="n">
        <v>2026.04</v>
      </c>
      <c r="B59" s="5" t="s">
        <v>51</v>
      </c>
      <c r="C59" s="9" t="n">
        <v>341321.7</v>
      </c>
      <c r="D59" s="10" t="n">
        <v>1142829</v>
      </c>
    </row>
    <row r="60" customFormat="false" ht="17.25" hidden="false" customHeight="false" outlineLevel="0" collapsed="false">
      <c r="A60" s="7" t="n">
        <v>2026.04</v>
      </c>
      <c r="B60" s="5" t="s">
        <v>52</v>
      </c>
      <c r="C60" s="9" t="n">
        <v>473293.5</v>
      </c>
      <c r="D60" s="10" t="n">
        <v>5383793</v>
      </c>
    </row>
    <row r="61" customFormat="false" ht="17.25" hidden="false" customHeight="false" outlineLevel="0" collapsed="false">
      <c r="A61" s="7" t="n">
        <v>2026.04</v>
      </c>
      <c r="B61" s="5" t="s">
        <v>53</v>
      </c>
      <c r="C61" s="9" t="n">
        <v>178640.2</v>
      </c>
      <c r="D61" s="10" t="n">
        <v>2162912</v>
      </c>
    </row>
    <row r="62" customFormat="false" ht="17.25" hidden="false" customHeight="false" outlineLevel="0" collapsed="false">
      <c r="A62" s="7" t="n">
        <v>2026.04</v>
      </c>
      <c r="B62" s="5" t="s">
        <v>54</v>
      </c>
      <c r="C62" s="9" t="n">
        <v>2175.8</v>
      </c>
      <c r="D62" s="10" t="n">
        <v>2491</v>
      </c>
    </row>
    <row r="63" customFormat="false" ht="17.25" hidden="false" customHeight="false" outlineLevel="0" collapsed="false">
      <c r="A63" s="7" t="n">
        <v>2026.04</v>
      </c>
      <c r="B63" s="7" t="s">
        <v>55</v>
      </c>
      <c r="C63" s="9" t="n">
        <v>11204179.4</v>
      </c>
      <c r="D63" s="10" t="n">
        <v>20089347</v>
      </c>
    </row>
    <row r="64" customFormat="false" ht="17.25" hidden="false" customHeight="false" outlineLevel="0" collapsed="false">
      <c r="A64" s="7" t="n">
        <v>2026.04</v>
      </c>
      <c r="B64" s="5" t="s">
        <v>56</v>
      </c>
      <c r="C64" s="9" t="n">
        <v>398809.1</v>
      </c>
      <c r="D64" s="10" t="n">
        <v>483456</v>
      </c>
    </row>
    <row r="65" customFormat="false" ht="17.25" hidden="false" customHeight="false" outlineLevel="0" collapsed="false">
      <c r="A65" s="7" t="n">
        <v>2026.04</v>
      </c>
      <c r="B65" s="5" t="s">
        <v>57</v>
      </c>
      <c r="C65" s="9" t="n">
        <v>125097.5</v>
      </c>
      <c r="D65" s="10" t="n">
        <v>634737</v>
      </c>
    </row>
    <row r="66" customFormat="false" ht="17.25" hidden="false" customHeight="false" outlineLevel="0" collapsed="false">
      <c r="A66" s="7" t="n">
        <v>2026.04</v>
      </c>
      <c r="B66" s="5" t="s">
        <v>58</v>
      </c>
      <c r="C66" s="9" t="n">
        <v>4284130.8</v>
      </c>
      <c r="D66" s="10" t="n">
        <v>6735380</v>
      </c>
    </row>
    <row r="67" customFormat="false" ht="17.25" hidden="false" customHeight="false" outlineLevel="0" collapsed="false">
      <c r="A67" s="7" t="n">
        <v>2026.04</v>
      </c>
      <c r="B67" s="5" t="s">
        <v>59</v>
      </c>
      <c r="C67" s="9" t="n">
        <v>2724534.4</v>
      </c>
      <c r="D67" s="10" t="n">
        <v>4020760</v>
      </c>
    </row>
    <row r="68" customFormat="false" ht="17.25" hidden="false" customHeight="false" outlineLevel="0" collapsed="false">
      <c r="A68" s="7" t="n">
        <v>2026.04</v>
      </c>
      <c r="B68" s="5" t="s">
        <v>60</v>
      </c>
      <c r="C68" s="9" t="n">
        <v>3669241.8</v>
      </c>
      <c r="D68" s="10" t="n">
        <v>8205105</v>
      </c>
    </row>
    <row r="69" customFormat="false" ht="17.25" hidden="false" customHeight="false" outlineLevel="0" collapsed="false">
      <c r="A69" s="7" t="n">
        <v>2026.04</v>
      </c>
      <c r="B69" s="5" t="s">
        <v>61</v>
      </c>
      <c r="C69" s="9" t="n">
        <v>2365.8</v>
      </c>
      <c r="D69" s="10" t="n">
        <v>9909</v>
      </c>
    </row>
    <row r="70" customFormat="false" ht="17.25" hidden="false" customHeight="false" outlineLevel="0" collapsed="false">
      <c r="A70" s="7" t="n">
        <v>2026.04</v>
      </c>
      <c r="B70" s="7" t="s">
        <v>62</v>
      </c>
      <c r="C70" s="9" t="n">
        <v>2214093.6</v>
      </c>
      <c r="D70" s="10" t="n">
        <v>56970510</v>
      </c>
    </row>
    <row r="71" customFormat="false" ht="17.25" hidden="false" customHeight="false" outlineLevel="0" collapsed="false">
      <c r="A71" s="7" t="n">
        <v>2026.04</v>
      </c>
      <c r="B71" s="5" t="s">
        <v>63</v>
      </c>
      <c r="C71" s="9" t="n">
        <v>1481830.7</v>
      </c>
      <c r="D71" s="10" t="n">
        <v>7210420</v>
      </c>
    </row>
    <row r="72" customFormat="false" ht="17.25" hidden="false" customHeight="false" outlineLevel="0" collapsed="false">
      <c r="A72" s="7" t="n">
        <v>2026.04</v>
      </c>
      <c r="B72" s="5" t="s">
        <v>64</v>
      </c>
      <c r="C72" s="9" t="n">
        <v>687600.6</v>
      </c>
      <c r="D72" s="10" t="n">
        <v>9432934</v>
      </c>
    </row>
    <row r="73" customFormat="false" ht="17.25" hidden="false" customHeight="false" outlineLevel="0" collapsed="false">
      <c r="A73" s="7" t="n">
        <v>2026.04</v>
      </c>
      <c r="B73" s="5" t="s">
        <v>65</v>
      </c>
      <c r="C73" s="9" t="n">
        <v>12351.5</v>
      </c>
      <c r="D73" s="10" t="n">
        <v>6821884</v>
      </c>
    </row>
    <row r="74" customFormat="false" ht="17.25" hidden="false" customHeight="false" outlineLevel="0" collapsed="false">
      <c r="A74" s="7" t="n">
        <v>2026.04</v>
      </c>
      <c r="B74" s="5" t="s">
        <v>66</v>
      </c>
      <c r="C74" s="9" t="n">
        <v>32310.8</v>
      </c>
      <c r="D74" s="10" t="n">
        <v>33505272</v>
      </c>
    </row>
    <row r="75" customFormat="false" ht="17.25" hidden="false" customHeight="false" outlineLevel="0" collapsed="false">
      <c r="A75" s="7" t="n">
        <v>2026.05</v>
      </c>
      <c r="B75" s="7" t="s">
        <v>50</v>
      </c>
      <c r="C75" s="9" t="n">
        <v>918582.3</v>
      </c>
      <c r="D75" s="10" t="n">
        <v>7818478</v>
      </c>
    </row>
    <row r="76" customFormat="false" ht="17.25" hidden="false" customHeight="false" outlineLevel="0" collapsed="false">
      <c r="A76" s="7" t="n">
        <v>2026.05</v>
      </c>
      <c r="B76" s="5" t="s">
        <v>51</v>
      </c>
      <c r="C76" s="9" t="n">
        <v>332106</v>
      </c>
      <c r="D76" s="10" t="n">
        <v>974774</v>
      </c>
    </row>
    <row r="77" customFormat="false" ht="17.25" hidden="false" customHeight="false" outlineLevel="0" collapsed="false">
      <c r="A77" s="7" t="n">
        <v>2026.05</v>
      </c>
      <c r="B77" s="5" t="s">
        <v>52</v>
      </c>
      <c r="C77" s="9" t="n">
        <v>421132</v>
      </c>
      <c r="D77" s="10" t="n">
        <v>4926332</v>
      </c>
    </row>
    <row r="78" customFormat="false" ht="17.25" hidden="false" customHeight="false" outlineLevel="0" collapsed="false">
      <c r="A78" s="7" t="n">
        <v>2026.05</v>
      </c>
      <c r="B78" s="5" t="s">
        <v>53</v>
      </c>
      <c r="C78" s="9" t="n">
        <v>162676.3</v>
      </c>
      <c r="D78" s="10" t="n">
        <v>1914940</v>
      </c>
    </row>
    <row r="79" customFormat="false" ht="17.25" hidden="false" customHeight="false" outlineLevel="0" collapsed="false">
      <c r="A79" s="7" t="n">
        <v>2026.05</v>
      </c>
      <c r="B79" s="5" t="s">
        <v>54</v>
      </c>
      <c r="C79" s="9" t="n">
        <v>2668</v>
      </c>
      <c r="D79" s="10" t="n">
        <v>2432</v>
      </c>
    </row>
    <row r="80" customFormat="false" ht="17.25" hidden="false" customHeight="false" outlineLevel="0" collapsed="false">
      <c r="A80" s="7" t="n">
        <v>2026.05</v>
      </c>
      <c r="B80" s="7" t="s">
        <v>55</v>
      </c>
      <c r="C80" s="9" t="n">
        <v>11057382.5</v>
      </c>
      <c r="D80" s="10" t="n">
        <v>19373529</v>
      </c>
    </row>
    <row r="81" customFormat="false" ht="17.25" hidden="false" customHeight="false" outlineLevel="0" collapsed="false">
      <c r="A81" s="7" t="n">
        <v>2026.05</v>
      </c>
      <c r="B81" s="5" t="s">
        <v>56</v>
      </c>
      <c r="C81" s="9" t="n">
        <v>358569.1</v>
      </c>
      <c r="D81" s="10" t="n">
        <v>441975</v>
      </c>
    </row>
    <row r="82" customFormat="false" ht="17.25" hidden="false" customHeight="false" outlineLevel="0" collapsed="false">
      <c r="A82" s="7" t="n">
        <v>2026.05</v>
      </c>
      <c r="B82" s="5" t="s">
        <v>57</v>
      </c>
      <c r="C82" s="9" t="n">
        <v>101209.2</v>
      </c>
      <c r="D82" s="10" t="n">
        <v>524092</v>
      </c>
    </row>
    <row r="83" customFormat="false" ht="17.25" hidden="false" customHeight="false" outlineLevel="0" collapsed="false">
      <c r="A83" s="7" t="n">
        <v>2026.05</v>
      </c>
      <c r="B83" s="5" t="s">
        <v>58</v>
      </c>
      <c r="C83" s="9" t="n">
        <v>4903779.1</v>
      </c>
      <c r="D83" s="10" t="n">
        <v>7223537</v>
      </c>
    </row>
    <row r="84" customFormat="false" ht="17.25" hidden="false" customHeight="false" outlineLevel="0" collapsed="false">
      <c r="A84" s="7" t="n">
        <v>2026.05</v>
      </c>
      <c r="B84" s="5" t="s">
        <v>59</v>
      </c>
      <c r="C84" s="9" t="n">
        <v>2579189.3</v>
      </c>
      <c r="D84" s="10" t="n">
        <v>3767266</v>
      </c>
    </row>
    <row r="85" customFormat="false" ht="17.25" hidden="false" customHeight="false" outlineLevel="0" collapsed="false">
      <c r="A85" s="7" t="n">
        <v>2026.05</v>
      </c>
      <c r="B85" s="5" t="s">
        <v>60</v>
      </c>
      <c r="C85" s="9" t="n">
        <v>3112628</v>
      </c>
      <c r="D85" s="10" t="n">
        <v>7407806</v>
      </c>
    </row>
    <row r="86" customFormat="false" ht="17.25" hidden="false" customHeight="false" outlineLevel="0" collapsed="false">
      <c r="A86" s="7" t="n">
        <v>2026.05</v>
      </c>
      <c r="B86" s="5" t="s">
        <v>61</v>
      </c>
      <c r="C86" s="9" t="n">
        <v>2007.8</v>
      </c>
      <c r="D86" s="10" t="n">
        <v>8854</v>
      </c>
    </row>
    <row r="87" customFormat="false" ht="17.25" hidden="false" customHeight="false" outlineLevel="0" collapsed="false">
      <c r="A87" s="7" t="n">
        <v>2026.05</v>
      </c>
      <c r="B87" s="7" t="s">
        <v>62</v>
      </c>
      <c r="C87" s="9" t="n">
        <v>1613546.5</v>
      </c>
      <c r="D87" s="10" t="n">
        <v>60384076</v>
      </c>
    </row>
    <row r="88" customFormat="false" ht="17.25" hidden="false" customHeight="false" outlineLevel="0" collapsed="false">
      <c r="A88" s="7" t="n">
        <v>2026.05</v>
      </c>
      <c r="B88" s="5" t="s">
        <v>63</v>
      </c>
      <c r="C88" s="9" t="n">
        <v>966339.2</v>
      </c>
      <c r="D88" s="10" t="n">
        <v>6396274</v>
      </c>
    </row>
    <row r="89" customFormat="false" ht="17.25" hidden="false" customHeight="false" outlineLevel="0" collapsed="false">
      <c r="A89" s="7" t="n">
        <v>2026.05</v>
      </c>
      <c r="B89" s="5" t="s">
        <v>64</v>
      </c>
      <c r="C89" s="9" t="n">
        <v>609298.7</v>
      </c>
      <c r="D89" s="10" t="n">
        <v>8429178</v>
      </c>
    </row>
    <row r="90" customFormat="false" ht="17.25" hidden="false" customHeight="false" outlineLevel="0" collapsed="false">
      <c r="A90" s="7" t="n">
        <v>2026.05</v>
      </c>
      <c r="B90" s="5" t="s">
        <v>65</v>
      </c>
      <c r="C90" s="9" t="n">
        <v>11817.7</v>
      </c>
      <c r="D90" s="10" t="n">
        <v>6917946</v>
      </c>
    </row>
    <row r="91" customFormat="false" ht="17.25" hidden="false" customHeight="false" outlineLevel="0" collapsed="false">
      <c r="A91" s="7" t="n">
        <v>2026.05</v>
      </c>
      <c r="B91" s="5" t="s">
        <v>66</v>
      </c>
      <c r="C91" s="9" t="n">
        <v>26091</v>
      </c>
      <c r="D91" s="10" t="n">
        <v>38640678</v>
      </c>
    </row>
    <row r="92" customFormat="false" ht="17.25" hidden="false" customHeight="false" outlineLevel="0" collapsed="false">
      <c r="A92" s="7" t="n">
        <v>2026.06</v>
      </c>
      <c r="B92" s="7" t="s">
        <v>50</v>
      </c>
      <c r="C92" s="9" t="n">
        <v>970623.9</v>
      </c>
      <c r="D92" s="10" t="n">
        <v>8762452</v>
      </c>
    </row>
    <row r="93" customFormat="false" ht="17.25" hidden="false" customHeight="false" outlineLevel="0" collapsed="false">
      <c r="A93" s="7" t="n">
        <v>2026.06</v>
      </c>
      <c r="B93" s="5" t="s">
        <v>51</v>
      </c>
      <c r="C93" s="9" t="n">
        <v>307364.9</v>
      </c>
      <c r="D93" s="10" t="n">
        <v>1070206</v>
      </c>
    </row>
    <row r="94" customFormat="false" ht="17.25" hidden="false" customHeight="false" outlineLevel="0" collapsed="false">
      <c r="A94" s="7" t="n">
        <v>2026.06</v>
      </c>
      <c r="B94" s="5" t="s">
        <v>52</v>
      </c>
      <c r="C94" s="9" t="n">
        <v>477052.3</v>
      </c>
      <c r="D94" s="10" t="n">
        <v>5522573</v>
      </c>
    </row>
    <row r="95" customFormat="false" ht="17.25" hidden="false" customHeight="false" outlineLevel="0" collapsed="false">
      <c r="A95" s="7" t="n">
        <v>2026.06</v>
      </c>
      <c r="B95" s="5" t="s">
        <v>53</v>
      </c>
      <c r="C95" s="9" t="n">
        <v>182599.5</v>
      </c>
      <c r="D95" s="10" t="n">
        <v>2166222</v>
      </c>
    </row>
    <row r="96" customFormat="false" ht="17.25" hidden="false" customHeight="false" outlineLevel="0" collapsed="false">
      <c r="A96" s="7" t="n">
        <v>2026.06</v>
      </c>
      <c r="B96" s="5" t="s">
        <v>54</v>
      </c>
      <c r="C96" s="9" t="n">
        <v>3607.2</v>
      </c>
      <c r="D96" s="10" t="n">
        <v>3451</v>
      </c>
    </row>
    <row r="97" customFormat="false" ht="17.25" hidden="false" customHeight="false" outlineLevel="0" collapsed="false">
      <c r="A97" s="7" t="n">
        <v>2026.06</v>
      </c>
      <c r="B97" s="7" t="s">
        <v>55</v>
      </c>
      <c r="C97" s="9" t="n">
        <v>12485223.1</v>
      </c>
      <c r="D97" s="10" t="n">
        <v>20737509</v>
      </c>
    </row>
    <row r="98" customFormat="false" ht="17.25" hidden="false" customHeight="false" outlineLevel="0" collapsed="false">
      <c r="A98" s="7" t="n">
        <v>2026.06</v>
      </c>
      <c r="B98" s="5" t="s">
        <v>56</v>
      </c>
      <c r="C98" s="9" t="n">
        <v>374799.2</v>
      </c>
      <c r="D98" s="10" t="n">
        <v>479072</v>
      </c>
    </row>
    <row r="99" customFormat="false" ht="17.25" hidden="false" customHeight="false" outlineLevel="0" collapsed="false">
      <c r="A99" s="7" t="n">
        <v>2026.06</v>
      </c>
      <c r="B99" s="5" t="s">
        <v>57</v>
      </c>
      <c r="C99" s="9" t="n">
        <v>111178.4</v>
      </c>
      <c r="D99" s="10" t="n">
        <v>577982</v>
      </c>
    </row>
    <row r="100" customFormat="false" ht="17.25" hidden="false" customHeight="false" outlineLevel="0" collapsed="false">
      <c r="A100" s="7" t="n">
        <v>2026.06</v>
      </c>
      <c r="B100" s="5" t="s">
        <v>58</v>
      </c>
      <c r="C100" s="9" t="n">
        <v>5699194.1</v>
      </c>
      <c r="D100" s="10" t="n">
        <v>7332370</v>
      </c>
    </row>
    <row r="101" customFormat="false" ht="17.25" hidden="false" customHeight="false" outlineLevel="0" collapsed="false">
      <c r="A101" s="7" t="n">
        <v>2026.06</v>
      </c>
      <c r="B101" s="5" t="s">
        <v>59</v>
      </c>
      <c r="C101" s="9" t="n">
        <v>2707027.8</v>
      </c>
      <c r="D101" s="10" t="n">
        <v>4036403</v>
      </c>
    </row>
    <row r="102" customFormat="false" ht="17.25" hidden="false" customHeight="false" outlineLevel="0" collapsed="false">
      <c r="A102" s="7" t="n">
        <v>2026.06</v>
      </c>
      <c r="B102" s="5" t="s">
        <v>60</v>
      </c>
      <c r="C102" s="9" t="n">
        <v>3590279.7</v>
      </c>
      <c r="D102" s="10" t="n">
        <v>8299470</v>
      </c>
    </row>
    <row r="103" customFormat="false" ht="17.25" hidden="false" customHeight="false" outlineLevel="0" collapsed="false">
      <c r="A103" s="7" t="n">
        <v>2026.06</v>
      </c>
      <c r="B103" s="5" t="s">
        <v>61</v>
      </c>
      <c r="C103" s="9" t="n">
        <v>2743.8</v>
      </c>
      <c r="D103" s="10" t="n">
        <v>12211</v>
      </c>
    </row>
    <row r="104" customFormat="false" ht="17.25" hidden="false" customHeight="false" outlineLevel="0" collapsed="false">
      <c r="A104" s="7" t="n">
        <v>2026.06</v>
      </c>
      <c r="B104" s="7" t="s">
        <v>62</v>
      </c>
      <c r="C104" s="9" t="n">
        <v>2232078.8</v>
      </c>
      <c r="D104" s="10" t="n">
        <v>72456198</v>
      </c>
    </row>
    <row r="105" customFormat="false" ht="17.25" hidden="false" customHeight="false" outlineLevel="0" collapsed="false">
      <c r="A105" s="7" t="n">
        <v>2026.06</v>
      </c>
      <c r="B105" s="5" t="s">
        <v>63</v>
      </c>
      <c r="C105" s="9" t="n">
        <v>1513598.1</v>
      </c>
      <c r="D105" s="10" t="n">
        <v>7782611</v>
      </c>
    </row>
    <row r="106" customFormat="false" ht="17.25" hidden="false" customHeight="false" outlineLevel="0" collapsed="false">
      <c r="A106" s="7" t="n">
        <v>2026.06</v>
      </c>
      <c r="B106" s="5" t="s">
        <v>64</v>
      </c>
      <c r="C106" s="9" t="n">
        <v>674747.4</v>
      </c>
      <c r="D106" s="10" t="n">
        <v>9881074</v>
      </c>
    </row>
    <row r="107" customFormat="false" ht="17.25" hidden="false" customHeight="false" outlineLevel="0" collapsed="false">
      <c r="A107" s="7" t="n">
        <v>2026.06</v>
      </c>
      <c r="B107" s="5" t="s">
        <v>65</v>
      </c>
      <c r="C107" s="9" t="n">
        <v>13900.7</v>
      </c>
      <c r="D107" s="10" t="n">
        <v>8325417</v>
      </c>
    </row>
    <row r="108" customFormat="false" ht="17.25" hidden="false" customHeight="false" outlineLevel="0" collapsed="false">
      <c r="A108" s="7" t="n">
        <v>2026.06</v>
      </c>
      <c r="B108" s="5" t="s">
        <v>66</v>
      </c>
      <c r="C108" s="9" t="n">
        <v>29832.6</v>
      </c>
      <c r="D108" s="10" t="n">
        <v>46467096</v>
      </c>
    </row>
    <row r="109" customFormat="false" ht="17.25" hidden="false" customHeight="false" outlineLevel="0" collapsed="false">
      <c r="A109" s="7" t="n">
        <v>2026.07</v>
      </c>
      <c r="B109" s="7" t="s">
        <v>50</v>
      </c>
      <c r="C109" s="9" t="n">
        <v>969787.3</v>
      </c>
      <c r="D109" s="10" t="n">
        <v>8749031</v>
      </c>
    </row>
    <row r="110" customFormat="false" ht="17.25" hidden="false" customHeight="false" outlineLevel="0" collapsed="false">
      <c r="A110" s="7" t="n">
        <v>2026.07</v>
      </c>
      <c r="B110" s="5" t="s">
        <v>51</v>
      </c>
      <c r="C110" s="9" t="n">
        <v>296208.7</v>
      </c>
      <c r="D110" s="10" t="n">
        <v>1020785</v>
      </c>
    </row>
    <row r="111" customFormat="false" ht="17.25" hidden="false" customHeight="false" outlineLevel="0" collapsed="false">
      <c r="A111" s="7" t="n">
        <v>2026.07</v>
      </c>
      <c r="B111" s="5" t="s">
        <v>52</v>
      </c>
      <c r="C111" s="9" t="n">
        <v>485732.2</v>
      </c>
      <c r="D111" s="10" t="n">
        <v>5560337</v>
      </c>
    </row>
    <row r="112" customFormat="false" ht="17.25" hidden="false" customHeight="false" outlineLevel="0" collapsed="false">
      <c r="A112" s="7" t="n">
        <v>2026.07</v>
      </c>
      <c r="B112" s="5" t="s">
        <v>53</v>
      </c>
      <c r="C112" s="9" t="n">
        <v>184188.7</v>
      </c>
      <c r="D112" s="10" t="n">
        <v>2163797</v>
      </c>
    </row>
    <row r="113" customFormat="false" ht="17.25" hidden="false" customHeight="false" outlineLevel="0" collapsed="false">
      <c r="A113" s="7" t="n">
        <v>2026.07</v>
      </c>
      <c r="B113" s="5" t="s">
        <v>54</v>
      </c>
      <c r="C113" s="9" t="n">
        <v>3657.8</v>
      </c>
      <c r="D113" s="10" t="n">
        <v>4113</v>
      </c>
    </row>
    <row r="114" customFormat="false" ht="17.25" hidden="false" customHeight="false" outlineLevel="0" collapsed="false">
      <c r="A114" s="7" t="n">
        <v>2026.07</v>
      </c>
      <c r="B114" s="7" t="s">
        <v>55</v>
      </c>
      <c r="C114" s="9" t="n">
        <v>14130712.5</v>
      </c>
      <c r="D114" s="10" t="n">
        <v>20962899</v>
      </c>
    </row>
    <row r="115" customFormat="false" ht="17.25" hidden="false" customHeight="false" outlineLevel="0" collapsed="false">
      <c r="A115" s="7" t="n">
        <v>2026.07</v>
      </c>
      <c r="B115" s="5" t="s">
        <v>56</v>
      </c>
      <c r="C115" s="9" t="n">
        <v>368973.8</v>
      </c>
      <c r="D115" s="10" t="n">
        <v>483744</v>
      </c>
    </row>
    <row r="116" customFormat="false" ht="17.25" hidden="false" customHeight="false" outlineLevel="0" collapsed="false">
      <c r="A116" s="7" t="n">
        <v>2026.07</v>
      </c>
      <c r="B116" s="5" t="s">
        <v>57</v>
      </c>
      <c r="C116" s="9" t="n">
        <v>109069.5</v>
      </c>
      <c r="D116" s="10" t="n">
        <v>593803</v>
      </c>
    </row>
    <row r="117" customFormat="false" ht="17.25" hidden="false" customHeight="false" outlineLevel="0" collapsed="false">
      <c r="A117" s="7" t="n">
        <v>2026.07</v>
      </c>
      <c r="B117" s="5" t="s">
        <v>58</v>
      </c>
      <c r="C117" s="9" t="n">
        <v>6414652.4</v>
      </c>
      <c r="D117" s="10" t="n">
        <v>7297526</v>
      </c>
    </row>
    <row r="118" customFormat="false" ht="17.25" hidden="false" customHeight="false" outlineLevel="0" collapsed="false">
      <c r="A118" s="7" t="n">
        <v>2026.07</v>
      </c>
      <c r="B118" s="5" t="s">
        <v>59</v>
      </c>
      <c r="C118" s="9" t="n">
        <v>2987377</v>
      </c>
      <c r="D118" s="10" t="n">
        <v>4137091</v>
      </c>
    </row>
    <row r="119" customFormat="false" ht="17.25" hidden="false" customHeight="false" outlineLevel="0" collapsed="false">
      <c r="A119" s="7" t="n">
        <v>2026.07</v>
      </c>
      <c r="B119" s="5" t="s">
        <v>60</v>
      </c>
      <c r="C119" s="9" t="n">
        <v>4247706.9</v>
      </c>
      <c r="D119" s="10" t="n">
        <v>8437709</v>
      </c>
    </row>
    <row r="120" customFormat="false" ht="17.25" hidden="false" customHeight="false" outlineLevel="0" collapsed="false">
      <c r="A120" s="7" t="n">
        <v>2026.07</v>
      </c>
      <c r="B120" s="5" t="s">
        <v>61</v>
      </c>
      <c r="C120" s="9" t="n">
        <v>2933</v>
      </c>
      <c r="D120" s="10" t="n">
        <v>13026</v>
      </c>
    </row>
    <row r="121" customFormat="false" ht="17.25" hidden="false" customHeight="false" outlineLevel="0" collapsed="false">
      <c r="A121" s="7" t="n">
        <v>2026.07</v>
      </c>
      <c r="B121" s="7" t="s">
        <v>62</v>
      </c>
      <c r="C121" s="9" t="n">
        <v>2560180.9</v>
      </c>
      <c r="D121" s="10" t="n">
        <v>69247169</v>
      </c>
    </row>
    <row r="122" customFormat="false" ht="17.25" hidden="false" customHeight="false" outlineLevel="0" collapsed="false">
      <c r="A122" s="7" t="n">
        <v>2026.07</v>
      </c>
      <c r="B122" s="5" t="s">
        <v>63</v>
      </c>
      <c r="C122" s="9" t="n">
        <v>1744671.4</v>
      </c>
      <c r="D122" s="10" t="n">
        <v>8015260</v>
      </c>
    </row>
    <row r="123" customFormat="false" ht="17.25" hidden="false" customHeight="false" outlineLevel="0" collapsed="false">
      <c r="A123" s="7" t="n">
        <v>2026.07</v>
      </c>
      <c r="B123" s="5" t="s">
        <v>64</v>
      </c>
      <c r="C123" s="9" t="n">
        <v>767350.8</v>
      </c>
      <c r="D123" s="10" t="n">
        <v>10437690</v>
      </c>
    </row>
    <row r="124" customFormat="false" ht="17.25" hidden="false" customHeight="false" outlineLevel="0" collapsed="false">
      <c r="A124" s="7" t="n">
        <v>2026.07</v>
      </c>
      <c r="B124" s="5" t="s">
        <v>65</v>
      </c>
      <c r="C124" s="9" t="n">
        <v>14677.3</v>
      </c>
      <c r="D124" s="10" t="n">
        <v>8032683</v>
      </c>
    </row>
    <row r="125" customFormat="false" ht="17.25" hidden="false" customHeight="false" outlineLevel="0" collapsed="false">
      <c r="A125" s="7" t="n">
        <v>2026.07</v>
      </c>
      <c r="B125" s="5" t="s">
        <v>66</v>
      </c>
      <c r="C125" s="9" t="n">
        <v>33481.3</v>
      </c>
      <c r="D125" s="10" t="n">
        <v>42761535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20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0"/>
  </cols>
  <sheetData>
    <row r="1" customFormat="false" ht="21.75" hidden="false" customHeight="true" outlineLevel="0" collapsed="false">
      <c r="A1" s="11" t="s">
        <v>67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true" outlineLevel="0" collapsed="false">
      <c r="A2" s="12" t="s">
        <v>68</v>
      </c>
      <c r="B2" s="12"/>
      <c r="C2" s="12"/>
      <c r="D2" s="12"/>
      <c r="E2" s="12"/>
      <c r="F2" s="12"/>
      <c r="G2" s="12"/>
      <c r="H2" s="12"/>
      <c r="I2" s="12"/>
    </row>
    <row r="3" customFormat="false" ht="15" hidden="false" customHeight="true" outlineLevel="0" collapsed="false">
      <c r="A3" s="12" t="s">
        <v>69</v>
      </c>
      <c r="B3" s="12"/>
      <c r="C3" s="12"/>
      <c r="D3" s="12"/>
      <c r="E3" s="12"/>
      <c r="F3" s="12"/>
      <c r="G3" s="12"/>
      <c r="H3" s="12"/>
      <c r="I3" s="12"/>
    </row>
    <row r="4" customFormat="false" ht="15" hidden="false" customHeight="false" outlineLevel="0" collapsed="false">
      <c r="A4" s="13" t="s">
        <v>70</v>
      </c>
      <c r="B4" s="14" t="n">
        <v>1</v>
      </c>
      <c r="C4" s="13" t="s">
        <v>71</v>
      </c>
      <c r="D4" s="15" t="n">
        <v>5</v>
      </c>
    </row>
    <row r="6" customFormat="false" ht="15" hidden="false" customHeight="false" outlineLevel="0" collapsed="false">
      <c r="A6" s="16" t="s">
        <v>72</v>
      </c>
      <c r="B6" s="16"/>
      <c r="C6" s="16"/>
      <c r="D6" s="16"/>
      <c r="E6" s="16"/>
      <c r="F6" s="16"/>
      <c r="G6" s="16"/>
      <c r="H6" s="16"/>
      <c r="I6" s="16"/>
    </row>
    <row r="7" customFormat="false" ht="15" hidden="false" customHeight="false" outlineLevel="0" collapsed="false">
      <c r="A7" s="17" t="s">
        <v>73</v>
      </c>
      <c r="B7" s="17" t="s">
        <v>74</v>
      </c>
      <c r="C7" s="17" t="s">
        <v>75</v>
      </c>
      <c r="D7" s="17" t="s">
        <v>76</v>
      </c>
      <c r="E7" s="17" t="s">
        <v>77</v>
      </c>
    </row>
    <row r="8" customFormat="false" ht="15" hidden="false" customHeight="false" outlineLevel="0" collapsed="false">
      <c r="A8" s="13" t="s">
        <v>4</v>
      </c>
      <c r="B8" s="18" t="n">
        <f aca="false">'수출입 총괄'!B6</f>
        <v>156.5</v>
      </c>
      <c r="C8" s="18" t="n">
        <f aca="false">SUM('수출입 총괄'!B7:B13)</f>
        <v>156.5</v>
      </c>
      <c r="D8" s="18" t="n">
        <f aca="false">B8-C8</f>
        <v>0</v>
      </c>
      <c r="E8" s="19" t="str">
        <f aca="false">IF(ABS(D8)&lt;=$B$4,"일치(반올림오차 이내)","불일치")</f>
        <v>일치(반올림오차 이내)</v>
      </c>
    </row>
    <row r="9" customFormat="false" ht="15" hidden="false" customHeight="false" outlineLevel="0" collapsed="false">
      <c r="A9" s="13" t="s">
        <v>5</v>
      </c>
      <c r="B9" s="20" t="n">
        <f aca="false">'수출입 총괄'!C6</f>
        <v>7920384</v>
      </c>
      <c r="C9" s="20" t="n">
        <f aca="false">SUM('수출입 총괄'!C7:C13)</f>
        <v>7920384</v>
      </c>
      <c r="D9" s="18" t="n">
        <f aca="false">B9-C9</f>
        <v>0</v>
      </c>
      <c r="E9" s="19" t="str">
        <f aca="false">IF(ABS(D9)&lt;=$D$4,"일치(반올림오차 이내)","불일치")</f>
        <v>일치(반올림오차 이내)</v>
      </c>
    </row>
    <row r="10" customFormat="false" ht="15" hidden="false" customHeight="false" outlineLevel="0" collapsed="false">
      <c r="A10" s="13" t="s">
        <v>78</v>
      </c>
      <c r="B10" s="18" t="n">
        <f aca="false">'수출입 총괄'!D6</f>
        <v>109873539.6</v>
      </c>
      <c r="C10" s="18" t="n">
        <f aca="false">SUM('수출입 총괄'!D7:D13)</f>
        <v>109873539.7</v>
      </c>
      <c r="D10" s="18" t="n">
        <f aca="false">B10-C10</f>
        <v>-0.100000008940697</v>
      </c>
      <c r="E10" s="19" t="str">
        <f aca="false">IF(ABS(D10)&lt;=$B$4,"일치(반올림오차 이내)","불일치")</f>
        <v>일치(반올림오차 이내)</v>
      </c>
    </row>
    <row r="11" customFormat="false" ht="15" hidden="false" customHeight="false" outlineLevel="0" collapsed="false">
      <c r="A11" s="13" t="s">
        <v>79</v>
      </c>
      <c r="B11" s="20" t="n">
        <f aca="false">'수출입 총괄'!E6</f>
        <v>595062835</v>
      </c>
      <c r="C11" s="20" t="n">
        <f aca="false">SUM('수출입 총괄'!E7:E13)</f>
        <v>595062836</v>
      </c>
      <c r="D11" s="18" t="n">
        <f aca="false">B11-C11</f>
        <v>-1</v>
      </c>
      <c r="E11" s="19" t="str">
        <f aca="false">IF(ABS(D11)&lt;=$D$4,"일치(반올림오차 이내)","불일치")</f>
        <v>일치(반올림오차 이내)</v>
      </c>
    </row>
    <row r="12" customFormat="false" ht="15" hidden="false" customHeight="false" outlineLevel="0" collapsed="false">
      <c r="A12" s="13" t="s">
        <v>8</v>
      </c>
      <c r="B12" s="20" t="n">
        <f aca="false">'수출입 총괄'!F6</f>
        <v>34460197</v>
      </c>
      <c r="C12" s="20" t="n">
        <f aca="false">SUM('수출입 총괄'!F7:F13)</f>
        <v>34460197</v>
      </c>
      <c r="D12" s="18" t="n">
        <f aca="false">B12-C12</f>
        <v>0</v>
      </c>
      <c r="E12" s="19" t="str">
        <f aca="false">IF(ABS(D12)&lt;=$D$4,"일치(반올림오차 이내)","불일치")</f>
        <v>일치(반올림오차 이내)</v>
      </c>
    </row>
    <row r="13" customFormat="false" ht="15" hidden="false" customHeight="false" outlineLevel="0" collapsed="false">
      <c r="A13" s="13" t="s">
        <v>80</v>
      </c>
      <c r="B13" s="18" t="n">
        <f aca="false">'수출입 총괄'!G6</f>
        <v>313843050.5</v>
      </c>
      <c r="C13" s="18" t="n">
        <f aca="false">SUM('수출입 총괄'!G7:G13)</f>
        <v>313843050.5</v>
      </c>
      <c r="D13" s="18" t="n">
        <f aca="false">B13-C13</f>
        <v>0</v>
      </c>
      <c r="E13" s="19" t="str">
        <f aca="false">IF(ABS(D13)&lt;=$B$4,"일치(반올림오차 이내)","불일치")</f>
        <v>일치(반올림오차 이내)</v>
      </c>
    </row>
    <row r="14" customFormat="false" ht="15" hidden="false" customHeight="false" outlineLevel="0" collapsed="false">
      <c r="A14" s="13" t="s">
        <v>81</v>
      </c>
      <c r="B14" s="20" t="n">
        <f aca="false">'수출입 총괄'!H6</f>
        <v>427303144</v>
      </c>
      <c r="C14" s="20" t="n">
        <f aca="false">SUM('수출입 총괄'!H7:H13)</f>
        <v>427303145</v>
      </c>
      <c r="D14" s="18" t="n">
        <f aca="false">B14-C14</f>
        <v>-1</v>
      </c>
      <c r="E14" s="19" t="str">
        <f aca="false">IF(ABS(D14)&lt;=$D$4,"일치(반올림오차 이내)","불일치")</f>
        <v>일치(반올림오차 이내)</v>
      </c>
    </row>
    <row r="15" customFormat="false" ht="15" hidden="false" customHeight="false" outlineLevel="0" collapsed="false">
      <c r="A15" s="13" t="s">
        <v>82</v>
      </c>
      <c r="B15" s="20" t="n">
        <f aca="false">'수출입 총괄'!I6</f>
        <v>167759691</v>
      </c>
      <c r="C15" s="20" t="n">
        <f aca="false">SUM('수출입 총괄'!I7:I13)</f>
        <v>167759690</v>
      </c>
      <c r="D15" s="18" t="n">
        <f aca="false">B15-C15</f>
        <v>1</v>
      </c>
      <c r="E15" s="19" t="str">
        <f aca="false">IF(ABS(D15)&lt;=$D$4,"일치(반올림오차 이내)","불일치")</f>
        <v>일치(반올림오차 이내)</v>
      </c>
    </row>
    <row r="17" customFormat="false" ht="15" hidden="false" customHeight="false" outlineLevel="0" collapsed="false">
      <c r="A17" s="16" t="s">
        <v>83</v>
      </c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17" t="s">
        <v>3</v>
      </c>
      <c r="B18" s="17" t="s">
        <v>84</v>
      </c>
      <c r="C18" s="17" t="s">
        <v>10</v>
      </c>
      <c r="D18" s="17" t="s">
        <v>85</v>
      </c>
      <c r="E18" s="17" t="s">
        <v>86</v>
      </c>
      <c r="F18" s="17" t="s">
        <v>76</v>
      </c>
      <c r="G18" s="17" t="s">
        <v>77</v>
      </c>
    </row>
    <row r="19" customFormat="false" ht="15" hidden="false" customHeight="false" outlineLevel="0" collapsed="false">
      <c r="A19" s="13" t="s">
        <v>12</v>
      </c>
      <c r="B19" s="20" t="n">
        <f aca="false">'수출입 총괄'!E6</f>
        <v>595062835</v>
      </c>
      <c r="C19" s="20" t="n">
        <f aca="false">'수출입 총괄'!H6</f>
        <v>427303144</v>
      </c>
      <c r="D19" s="20" t="n">
        <f aca="false">B19-C19</f>
        <v>167759691</v>
      </c>
      <c r="E19" s="20" t="n">
        <f aca="false">'수출입 총괄'!I6</f>
        <v>167759691</v>
      </c>
      <c r="F19" s="20" t="n">
        <f aca="false">D19-E19</f>
        <v>0</v>
      </c>
      <c r="G19" s="19" t="str">
        <f aca="false">IF(ABS(F19)&lt;=$D$4,"일치(반올림오차 이내)","불일치")</f>
        <v>일치(반올림오차 이내)</v>
      </c>
    </row>
    <row r="20" customFormat="false" ht="15" hidden="false" customHeight="false" outlineLevel="0" collapsed="false">
      <c r="A20" s="21" t="s">
        <v>13</v>
      </c>
      <c r="B20" s="20" t="n">
        <f aca="false">'수출입 총괄'!E7</f>
        <v>65843937</v>
      </c>
      <c r="C20" s="20" t="n">
        <f aca="false">'수출입 총괄'!H7</f>
        <v>57143469</v>
      </c>
      <c r="D20" s="20" t="n">
        <f aca="false">B20-C20</f>
        <v>8700468</v>
      </c>
      <c r="E20" s="20" t="n">
        <f aca="false">'수출입 총괄'!I7</f>
        <v>8700468</v>
      </c>
      <c r="F20" s="20" t="n">
        <f aca="false">D20-E20</f>
        <v>0</v>
      </c>
      <c r="G20" s="19" t="str">
        <f aca="false">IF(ABS(F20)&lt;=$D$4,"일치(반올림오차 이내)","불일치")</f>
        <v>일치(반올림오차 이내)</v>
      </c>
    </row>
    <row r="21" customFormat="false" ht="15" hidden="false" customHeight="false" outlineLevel="0" collapsed="false">
      <c r="A21" s="21" t="s">
        <v>14</v>
      </c>
      <c r="B21" s="20" t="n">
        <f aca="false">'수출입 총괄'!E8</f>
        <v>67642547</v>
      </c>
      <c r="C21" s="20" t="n">
        <f aca="false">'수출입 총괄'!H8</f>
        <v>51933913</v>
      </c>
      <c r="D21" s="20" t="n">
        <f aca="false">B21-C21</f>
        <v>15708634</v>
      </c>
      <c r="E21" s="20" t="n">
        <f aca="false">'수출입 총괄'!I8</f>
        <v>15708634</v>
      </c>
      <c r="F21" s="20" t="n">
        <f aca="false">D21-E21</f>
        <v>0</v>
      </c>
      <c r="G21" s="19" t="str">
        <f aca="false">IF(ABS(F21)&lt;=$D$4,"일치(반올림오차 이내)","불일치")</f>
        <v>일치(반올림오차 이내)</v>
      </c>
    </row>
    <row r="22" customFormat="false" ht="15" hidden="false" customHeight="false" outlineLevel="0" collapsed="false">
      <c r="A22" s="21" t="s">
        <v>15</v>
      </c>
      <c r="B22" s="20" t="n">
        <f aca="false">'수출입 총괄'!E9</f>
        <v>87333128</v>
      </c>
      <c r="C22" s="20" t="n">
        <f aca="false">'수출입 총괄'!H9</f>
        <v>60753446</v>
      </c>
      <c r="D22" s="20" t="n">
        <f aca="false">B22-C22</f>
        <v>26579682</v>
      </c>
      <c r="E22" s="20" t="n">
        <f aca="false">'수출입 총괄'!I9</f>
        <v>26579682</v>
      </c>
      <c r="F22" s="20" t="n">
        <f aca="false">D22-E22</f>
        <v>0</v>
      </c>
      <c r="G22" s="19" t="str">
        <f aca="false">IF(ABS(F22)&lt;=$D$4,"일치(반올림오차 이내)","불일치")</f>
        <v>일치(반올림오차 이내)</v>
      </c>
    </row>
    <row r="23" customFormat="false" ht="15" hidden="false" customHeight="false" outlineLevel="0" collapsed="false">
      <c r="A23" s="21" t="s">
        <v>16</v>
      </c>
      <c r="B23" s="20" t="n">
        <f aca="false">'수출입 총괄'!E10</f>
        <v>85751883</v>
      </c>
      <c r="C23" s="20" t="n">
        <f aca="false">'수출입 총괄'!H10</f>
        <v>62104908</v>
      </c>
      <c r="D23" s="20" t="n">
        <f aca="false">B23-C23</f>
        <v>23646975</v>
      </c>
      <c r="E23" s="20" t="n">
        <f aca="false">'수출입 총괄'!I10</f>
        <v>23646975</v>
      </c>
      <c r="F23" s="20" t="n">
        <f aca="false">D23-E23</f>
        <v>0</v>
      </c>
      <c r="G23" s="19" t="str">
        <f aca="false">IF(ABS(F23)&lt;=$D$4,"일치(반올림오차 이내)","불일치")</f>
        <v>일치(반올림오차 이내)</v>
      </c>
    </row>
    <row r="24" customFormat="false" ht="15" hidden="false" customHeight="false" outlineLevel="0" collapsed="false">
      <c r="A24" s="21" t="s">
        <v>17</v>
      </c>
      <c r="B24" s="20" t="n">
        <f aca="false">'수출입 총괄'!E11</f>
        <v>87576083</v>
      </c>
      <c r="C24" s="20" t="n">
        <f aca="false">'수출입 총괄'!H11</f>
        <v>60748350</v>
      </c>
      <c r="D24" s="20" t="n">
        <f aca="false">B24-C24</f>
        <v>26827733</v>
      </c>
      <c r="E24" s="20" t="n">
        <f aca="false">'수출입 총괄'!I11</f>
        <v>26827733</v>
      </c>
      <c r="F24" s="20" t="n">
        <f aca="false">D24-E24</f>
        <v>0</v>
      </c>
      <c r="G24" s="19" t="str">
        <f aca="false">IF(ABS(F24)&lt;=$D$4,"일치(반올림오차 이내)","불일치")</f>
        <v>일치(반올림오차 이내)</v>
      </c>
    </row>
    <row r="25" customFormat="false" ht="15" hidden="false" customHeight="false" outlineLevel="0" collapsed="false">
      <c r="A25" s="21" t="s">
        <v>18</v>
      </c>
      <c r="B25" s="20" t="n">
        <f aca="false">'수출입 총괄'!E12</f>
        <v>101956159</v>
      </c>
      <c r="C25" s="20" t="n">
        <f aca="false">'수출입 총괄'!H12</f>
        <v>66051586</v>
      </c>
      <c r="D25" s="20" t="n">
        <f aca="false">B25-C25</f>
        <v>35904573</v>
      </c>
      <c r="E25" s="20" t="n">
        <f aca="false">'수출입 총괄'!I12</f>
        <v>35904573</v>
      </c>
      <c r="F25" s="20" t="n">
        <f aca="false">D25-E25</f>
        <v>0</v>
      </c>
      <c r="G25" s="19" t="str">
        <f aca="false">IF(ABS(F25)&lt;=$D$4,"일치(반올림오차 이내)","불일치")</f>
        <v>일치(반올림오차 이내)</v>
      </c>
    </row>
    <row r="26" customFormat="false" ht="15" hidden="false" customHeight="false" outlineLevel="0" collapsed="false">
      <c r="A26" s="21" t="s">
        <v>19</v>
      </c>
      <c r="B26" s="20" t="n">
        <f aca="false">'수출입 총괄'!E13</f>
        <v>98959099</v>
      </c>
      <c r="C26" s="20" t="n">
        <f aca="false">'수출입 총괄'!H13</f>
        <v>68567473</v>
      </c>
      <c r="D26" s="20" t="n">
        <f aca="false">B26-C26</f>
        <v>30391626</v>
      </c>
      <c r="E26" s="20" t="n">
        <f aca="false">'수출입 총괄'!I13</f>
        <v>30391625</v>
      </c>
      <c r="F26" s="20" t="n">
        <f aca="false">D26-E26</f>
        <v>1</v>
      </c>
      <c r="G26" s="19" t="str">
        <f aca="false">IF(ABS(F26)&lt;=$D$4,"일치(반올림오차 이내)","불일치")</f>
        <v>일치(반올림오차 이내)</v>
      </c>
    </row>
    <row r="28" customFormat="false" ht="15" hidden="false" customHeight="false" outlineLevel="0" collapsed="false">
      <c r="A28" s="16" t="s">
        <v>87</v>
      </c>
      <c r="B28" s="16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A29" s="17" t="s">
        <v>3</v>
      </c>
      <c r="B29" s="17" t="s">
        <v>88</v>
      </c>
      <c r="C29" s="17" t="s">
        <v>89</v>
      </c>
      <c r="D29" s="17" t="s">
        <v>76</v>
      </c>
      <c r="E29" s="17" t="s">
        <v>77</v>
      </c>
      <c r="F29" s="17" t="s">
        <v>90</v>
      </c>
      <c r="G29" s="17" t="s">
        <v>91</v>
      </c>
      <c r="H29" s="17" t="s">
        <v>76</v>
      </c>
      <c r="I29" s="17" t="s">
        <v>77</v>
      </c>
    </row>
    <row r="30" customFormat="false" ht="15" hidden="false" customHeight="false" outlineLevel="0" collapsed="false">
      <c r="A30" s="22" t="s">
        <v>13</v>
      </c>
      <c r="B30" s="20" t="n">
        <f aca="false">'수출입 실적(성질별)'!D7+'수출입 실적(성질별)'!D8+'수출입 실적(성질별)'!D9+'수출입 실적(성질별)'!D21</f>
        <v>65843937</v>
      </c>
      <c r="C30" s="20" t="n">
        <f aca="false">'수출입 총괄'!E7</f>
        <v>65843937</v>
      </c>
      <c r="D30" s="18" t="n">
        <f aca="false">B30-C30</f>
        <v>0</v>
      </c>
      <c r="E30" s="19" t="str">
        <f aca="false">IF(ABS(D30)&lt;=$D$4,"일치","불일치")</f>
        <v>일치</v>
      </c>
      <c r="F30" s="18" t="n">
        <f aca="false">'수출입 실적(성질별)'!C7+'수출입 실적(성질별)'!C8+'수출입 실적(성질별)'!C9+'수출입 실적(성질별)'!C21</f>
        <v>16739947.8</v>
      </c>
      <c r="G30" s="18" t="n">
        <f aca="false">'수출입 총괄'!D7</f>
        <v>16739947.8</v>
      </c>
      <c r="H30" s="18" t="n">
        <f aca="false">F30-G30</f>
        <v>0</v>
      </c>
      <c r="I30" s="19" t="str">
        <f aca="false">IF(ABS(H30)&lt;=$B$4,"일치","불일치")</f>
        <v>일치</v>
      </c>
    </row>
    <row r="31" customFormat="false" ht="15" hidden="false" customHeight="false" outlineLevel="0" collapsed="false">
      <c r="A31" s="22" t="s">
        <v>14</v>
      </c>
      <c r="B31" s="20" t="n">
        <f aca="false">'수출입 실적(성질별)'!D28+'수출입 실적(성질별)'!D29+'수출입 실적(성질별)'!D30+'수출입 실적(성질별)'!D42</f>
        <v>67642547</v>
      </c>
      <c r="C31" s="20" t="n">
        <f aca="false">'수출입 총괄'!E8</f>
        <v>67642547</v>
      </c>
      <c r="D31" s="18" t="n">
        <f aca="false">B31-C31</f>
        <v>0</v>
      </c>
      <c r="E31" s="19" t="str">
        <f aca="false">IF(ABS(D31)&lt;=$D$4,"일치","불일치")</f>
        <v>일치</v>
      </c>
      <c r="F31" s="18" t="n">
        <f aca="false">'수출입 실적(성질별)'!C28+'수출입 실적(성질별)'!C29+'수출입 실적(성질별)'!C30+'수출입 실적(성질별)'!C42</f>
        <v>15601517.9</v>
      </c>
      <c r="G31" s="18" t="n">
        <f aca="false">'수출입 총괄'!D8</f>
        <v>15601517.8</v>
      </c>
      <c r="H31" s="18" t="n">
        <f aca="false">F31-G31</f>
        <v>0.099999999627471</v>
      </c>
      <c r="I31" s="19" t="str">
        <f aca="false">IF(ABS(H31)&lt;=$B$4,"일치","불일치")</f>
        <v>일치</v>
      </c>
    </row>
    <row r="32" customFormat="false" ht="15" hidden="false" customHeight="false" outlineLevel="0" collapsed="false">
      <c r="A32" s="22" t="s">
        <v>15</v>
      </c>
      <c r="B32" s="20" t="n">
        <f aca="false">'수출입 실적(성질별)'!D49+'수출입 실적(성질별)'!D50+'수출입 실적(성질별)'!D51+'수출입 실적(성질별)'!D63</f>
        <v>87333128</v>
      </c>
      <c r="C32" s="20" t="n">
        <f aca="false">'수출입 총괄'!E9</f>
        <v>87333128</v>
      </c>
      <c r="D32" s="18" t="n">
        <f aca="false">B32-C32</f>
        <v>0</v>
      </c>
      <c r="E32" s="19" t="str">
        <f aca="false">IF(ABS(D32)&lt;=$D$4,"일치","불일치")</f>
        <v>일치</v>
      </c>
      <c r="F32" s="18" t="n">
        <f aca="false">'수출입 실적(성질별)'!C49+'수출입 실적(성질별)'!C50+'수출입 실적(성질별)'!C51+'수출입 실적(성질별)'!C63</f>
        <v>16180252</v>
      </c>
      <c r="G32" s="18" t="n">
        <f aca="false">'수출입 총괄'!D9</f>
        <v>16180252</v>
      </c>
      <c r="H32" s="18" t="n">
        <f aca="false">F32-G32</f>
        <v>0</v>
      </c>
      <c r="I32" s="19" t="str">
        <f aca="false">IF(ABS(H32)&lt;=$B$4,"일치","불일치")</f>
        <v>일치</v>
      </c>
    </row>
    <row r="33" customFormat="false" ht="15" hidden="false" customHeight="false" outlineLevel="0" collapsed="false">
      <c r="A33" s="22" t="s">
        <v>16</v>
      </c>
      <c r="B33" s="20" t="n">
        <f aca="false">'수출입 실적(성질별)'!D70+'수출입 실적(성질별)'!D71+'수출입 실적(성질별)'!D72+'수출입 실적(성질별)'!D84</f>
        <v>85751883</v>
      </c>
      <c r="C33" s="20" t="n">
        <f aca="false">'수출입 총괄'!E10</f>
        <v>85751883</v>
      </c>
      <c r="D33" s="18" t="n">
        <f aca="false">B33-C33</f>
        <v>0</v>
      </c>
      <c r="E33" s="19" t="str">
        <f aca="false">IF(ABS(D33)&lt;=$D$4,"일치","불일치")</f>
        <v>일치</v>
      </c>
      <c r="F33" s="18" t="n">
        <f aca="false">'수출입 실적(성질별)'!C70+'수출입 실적(성질별)'!C71+'수출입 실적(성질별)'!C72+'수출입 실적(성질별)'!C84</f>
        <v>14413704.2</v>
      </c>
      <c r="G33" s="18" t="n">
        <f aca="false">'수출입 총괄'!D10</f>
        <v>14413704.2</v>
      </c>
      <c r="H33" s="18" t="n">
        <f aca="false">F33-G33</f>
        <v>0</v>
      </c>
      <c r="I33" s="19" t="str">
        <f aca="false">IF(ABS(H33)&lt;=$B$4,"일치","불일치")</f>
        <v>일치</v>
      </c>
    </row>
    <row r="34" customFormat="false" ht="15" hidden="false" customHeight="false" outlineLevel="0" collapsed="false">
      <c r="A34" s="22" t="s">
        <v>17</v>
      </c>
      <c r="B34" s="20" t="n">
        <f aca="false">'수출입 실적(성질별)'!D91+'수출입 실적(성질별)'!D92+'수출입 실적(성질별)'!D93+'수출입 실적(성질별)'!D105</f>
        <v>87576084</v>
      </c>
      <c r="C34" s="20" t="n">
        <f aca="false">'수출입 총괄'!E11</f>
        <v>87576083</v>
      </c>
      <c r="D34" s="18" t="n">
        <f aca="false">B34-C34</f>
        <v>1</v>
      </c>
      <c r="E34" s="19" t="str">
        <f aca="false">IF(ABS(D34)&lt;=$D$4,"일치","불일치")</f>
        <v>일치</v>
      </c>
      <c r="F34" s="18" t="n">
        <f aca="false">'수출입 실적(성질별)'!C91+'수출입 실적(성질별)'!C92+'수출입 실적(성질별)'!C93+'수출입 실적(성질별)'!C105</f>
        <v>13589511.4</v>
      </c>
      <c r="G34" s="18" t="n">
        <f aca="false">'수출입 총괄'!D11</f>
        <v>13589511.3</v>
      </c>
      <c r="H34" s="18" t="n">
        <f aca="false">F34-G34</f>
        <v>0.099999999627471</v>
      </c>
      <c r="I34" s="19" t="str">
        <f aca="false">IF(ABS(H34)&lt;=$B$4,"일치","불일치")</f>
        <v>일치</v>
      </c>
    </row>
    <row r="35" customFormat="false" ht="15" hidden="false" customHeight="false" outlineLevel="0" collapsed="false">
      <c r="A35" s="22" t="s">
        <v>18</v>
      </c>
      <c r="B35" s="20" t="n">
        <f aca="false">'수출입 실적(성질별)'!D112+'수출입 실적(성질별)'!D113+'수출입 실적(성질별)'!D114+'수출입 실적(성질별)'!D126</f>
        <v>101956158</v>
      </c>
      <c r="C35" s="20" t="n">
        <f aca="false">'수출입 총괄'!E12</f>
        <v>101956159</v>
      </c>
      <c r="D35" s="18" t="n">
        <f aca="false">B35-C35</f>
        <v>-1</v>
      </c>
      <c r="E35" s="19" t="str">
        <f aca="false">IF(ABS(D35)&lt;=$D$4,"일치","불일치")</f>
        <v>일치</v>
      </c>
      <c r="F35" s="18" t="n">
        <f aca="false">'수출입 실적(성질별)'!C112+'수출입 실적(성질별)'!C113+'수출입 실적(성질별)'!C114+'수출입 실적(성질별)'!C126</f>
        <v>15687925.8</v>
      </c>
      <c r="G35" s="18" t="n">
        <f aca="false">'수출입 총괄'!D12</f>
        <v>15687925.9</v>
      </c>
      <c r="H35" s="18" t="n">
        <f aca="false">F35-G35</f>
        <v>-0.099999999627471</v>
      </c>
      <c r="I35" s="19" t="str">
        <f aca="false">IF(ABS(H35)&lt;=$B$4,"일치","불일치")</f>
        <v>일치</v>
      </c>
    </row>
    <row r="36" customFormat="false" ht="15" hidden="false" customHeight="false" outlineLevel="0" collapsed="false">
      <c r="A36" s="22" t="s">
        <v>19</v>
      </c>
      <c r="B36" s="20" t="n">
        <f aca="false">'수출입 실적(성질별)'!D133+'수출입 실적(성질별)'!D134+'수출입 실적(성질별)'!D135+'수출입 실적(성질별)'!D147</f>
        <v>98959100</v>
      </c>
      <c r="C36" s="20" t="n">
        <f aca="false">'수출입 총괄'!E13</f>
        <v>98959099</v>
      </c>
      <c r="D36" s="18" t="n">
        <f aca="false">B36-C36</f>
        <v>1</v>
      </c>
      <c r="E36" s="19" t="str">
        <f aca="false">IF(ABS(D36)&lt;=$D$4,"일치","불일치")</f>
        <v>일치</v>
      </c>
      <c r="F36" s="18" t="n">
        <f aca="false">'수출입 실적(성질별)'!C133+'수출입 실적(성질별)'!C134+'수출입 실적(성질별)'!C135+'수출입 실적(성질별)'!C147</f>
        <v>17660680.7</v>
      </c>
      <c r="G36" s="18" t="n">
        <f aca="false">'수출입 총괄'!D13</f>
        <v>17660680.7</v>
      </c>
      <c r="H36" s="18" t="n">
        <f aca="false">F36-G36</f>
        <v>0</v>
      </c>
      <c r="I36" s="19" t="str">
        <f aca="false">IF(ABS(H36)&lt;=$B$4,"일치","불일치")</f>
        <v>일치</v>
      </c>
    </row>
    <row r="37" customFormat="false" ht="15" hidden="false" customHeight="false" outlineLevel="0" collapsed="false">
      <c r="A37" s="22" t="s">
        <v>92</v>
      </c>
      <c r="B37" s="23" t="n">
        <f aca="false">SUM(B30:B36)</f>
        <v>595062837</v>
      </c>
      <c r="C37" s="23" t="n">
        <f aca="false">'수출입 실적(성질별)'!D6</f>
        <v>595062835</v>
      </c>
      <c r="D37" s="18" t="n">
        <f aca="false">B37-C37</f>
        <v>2</v>
      </c>
      <c r="E37" s="19" t="str">
        <f aca="false">IF(ABS(D37)&lt;=$D$4*7,"일치(누계 반올림오차)","불일치")</f>
        <v>일치(누계 반올림오차)</v>
      </c>
      <c r="F37" s="24" t="n">
        <f aca="false">SUM(F30:F36)</f>
        <v>109873539.8</v>
      </c>
      <c r="G37" s="24" t="n">
        <f aca="false">'수출입 실적(성질별)'!C6</f>
        <v>109873539.6</v>
      </c>
      <c r="H37" s="18" t="n">
        <f aca="false">F37-G37</f>
        <v>0.200000002980232</v>
      </c>
      <c r="I37" s="19" t="str">
        <f aca="false">IF(ABS(H37)&lt;=$B$4*7,"일치(누계 반올림오차)","불일치")</f>
        <v>일치(누계 반올림오차)</v>
      </c>
    </row>
    <row r="38" customFormat="false" ht="15" hidden="false" customHeight="true" outlineLevel="0" collapsed="false">
      <c r="A38" s="25" t="s">
        <v>93</v>
      </c>
      <c r="B38" s="25"/>
      <c r="C38" s="25"/>
      <c r="D38" s="25"/>
      <c r="E38" s="25"/>
      <c r="F38" s="25"/>
      <c r="G38" s="25"/>
      <c r="H38" s="25"/>
      <c r="I38" s="25"/>
    </row>
    <row r="40" customFormat="false" ht="15" hidden="false" customHeight="false" outlineLevel="0" collapsed="false">
      <c r="A40" s="16" t="s">
        <v>94</v>
      </c>
      <c r="B40" s="16"/>
      <c r="C40" s="16"/>
      <c r="D40" s="16"/>
      <c r="E40" s="16"/>
      <c r="F40" s="16"/>
      <c r="G40" s="16"/>
      <c r="H40" s="16"/>
      <c r="I40" s="16"/>
    </row>
    <row r="41" customFormat="false" ht="15" hidden="false" customHeight="false" outlineLevel="0" collapsed="false">
      <c r="A41" s="17" t="s">
        <v>3</v>
      </c>
      <c r="B41" s="26" t="s">
        <v>95</v>
      </c>
      <c r="C41" s="17" t="s">
        <v>96</v>
      </c>
      <c r="D41" s="17" t="s">
        <v>76</v>
      </c>
      <c r="E41" s="17" t="s">
        <v>77</v>
      </c>
      <c r="F41" s="26" t="s">
        <v>97</v>
      </c>
      <c r="G41" s="17" t="s">
        <v>98</v>
      </c>
      <c r="H41" s="17" t="s">
        <v>76</v>
      </c>
      <c r="I41" s="17" t="s">
        <v>77</v>
      </c>
    </row>
    <row r="42" customFormat="false" ht="15" hidden="false" customHeight="false" outlineLevel="0" collapsed="false">
      <c r="A42" s="22" t="s">
        <v>13</v>
      </c>
      <c r="B42" s="20" t="n">
        <f aca="false">'수출입 실적(성질별)'!D9</f>
        <v>3082056</v>
      </c>
      <c r="C42" s="20" t="n">
        <f aca="false">SUM('수출입 실적(성질별)'!D10:D20)</f>
        <v>3082056</v>
      </c>
      <c r="D42" s="18" t="n">
        <f aca="false">B42-C42</f>
        <v>0</v>
      </c>
      <c r="E42" s="19" t="str">
        <f aca="false">IF(ABS(D42)&lt;=$D$4,"일치","불일치")</f>
        <v>일치</v>
      </c>
      <c r="F42" s="20" t="n">
        <f aca="false">'수출입 실적(성질별)'!D21</f>
        <v>57089106</v>
      </c>
      <c r="G42" s="20" t="n">
        <f aca="false">SUM('수출입 실적(성질별)'!D22:D27)</f>
        <v>57089105</v>
      </c>
      <c r="H42" s="18" t="n">
        <f aca="false">F42-G42</f>
        <v>1</v>
      </c>
      <c r="I42" s="19" t="str">
        <f aca="false">IF(ABS(H42)&lt;=$D$4,"일치","불일치")</f>
        <v>일치</v>
      </c>
    </row>
    <row r="43" customFormat="false" ht="15" hidden="false" customHeight="false" outlineLevel="0" collapsed="false">
      <c r="A43" s="22" t="s">
        <v>14</v>
      </c>
      <c r="B43" s="20" t="n">
        <f aca="false">'수출입 실적(성질별)'!D30</f>
        <v>3096567</v>
      </c>
      <c r="C43" s="20" t="n">
        <f aca="false">SUM('수출입 실적(성질별)'!D31:D41)</f>
        <v>3096566</v>
      </c>
      <c r="D43" s="18" t="n">
        <f aca="false">B43-C43</f>
        <v>1</v>
      </c>
      <c r="E43" s="19" t="str">
        <f aca="false">IF(ABS(D43)&lt;=$D$4,"일치","불일치")</f>
        <v>일치</v>
      </c>
      <c r="F43" s="20" t="n">
        <f aca="false">'수출입 실적(성질별)'!D42</f>
        <v>58704727</v>
      </c>
      <c r="G43" s="20" t="n">
        <f aca="false">SUM('수출입 실적(성질별)'!D43:D48)</f>
        <v>58704727</v>
      </c>
      <c r="H43" s="18" t="n">
        <f aca="false">F43-G43</f>
        <v>0</v>
      </c>
      <c r="I43" s="19" t="str">
        <f aca="false">IF(ABS(H43)&lt;=$D$4,"일치","불일치")</f>
        <v>일치</v>
      </c>
    </row>
    <row r="44" customFormat="false" ht="15" hidden="false" customHeight="false" outlineLevel="0" collapsed="false">
      <c r="A44" s="22" t="s">
        <v>15</v>
      </c>
      <c r="B44" s="20" t="n">
        <f aca="false">'수출입 실적(성질별)'!D51</f>
        <v>4111292</v>
      </c>
      <c r="C44" s="20" t="n">
        <f aca="false">SUM('수출입 실적(성질별)'!D52:D62)</f>
        <v>4111293</v>
      </c>
      <c r="D44" s="18" t="n">
        <f aca="false">B44-C44</f>
        <v>-1</v>
      </c>
      <c r="E44" s="19" t="str">
        <f aca="false">IF(ABS(D44)&lt;=$D$4,"일치","불일치")</f>
        <v>일치</v>
      </c>
      <c r="F44" s="20" t="n">
        <f aca="false">'수출입 실적(성질별)'!D63</f>
        <v>74771554</v>
      </c>
      <c r="G44" s="20" t="n">
        <f aca="false">SUM('수출입 실적(성질별)'!D64:D69)</f>
        <v>74771555</v>
      </c>
      <c r="H44" s="18" t="n">
        <f aca="false">F44-G44</f>
        <v>-1</v>
      </c>
      <c r="I44" s="19" t="str">
        <f aca="false">IF(ABS(H44)&lt;=$D$4,"일치","불일치")</f>
        <v>일치</v>
      </c>
    </row>
    <row r="45" customFormat="false" ht="15" hidden="false" customHeight="false" outlineLevel="0" collapsed="false">
      <c r="A45" s="22" t="s">
        <v>16</v>
      </c>
      <c r="B45" s="20" t="n">
        <f aca="false">'수출입 실적(성질별)'!D72</f>
        <v>3895477</v>
      </c>
      <c r="C45" s="20" t="n">
        <f aca="false">SUM('수출입 실적(성질별)'!D73:D83)</f>
        <v>3895476</v>
      </c>
      <c r="D45" s="18" t="n">
        <f aca="false">B45-C45</f>
        <v>1</v>
      </c>
      <c r="E45" s="19" t="str">
        <f aca="false">IF(ABS(D45)&lt;=$D$4,"일치","불일치")</f>
        <v>일치</v>
      </c>
      <c r="F45" s="20" t="n">
        <f aca="false">'수출입 실적(성질별)'!D84</f>
        <v>74317921</v>
      </c>
      <c r="G45" s="20" t="n">
        <f aca="false">SUM('수출입 실적(성질별)'!D85:D90)</f>
        <v>74317921</v>
      </c>
      <c r="H45" s="18" t="n">
        <f aca="false">F45-G45</f>
        <v>0</v>
      </c>
      <c r="I45" s="19" t="str">
        <f aca="false">IF(ABS(H45)&lt;=$D$4,"일치","불일치")</f>
        <v>일치</v>
      </c>
    </row>
    <row r="46" customFormat="false" ht="15" hidden="false" customHeight="false" outlineLevel="0" collapsed="false">
      <c r="A46" s="22" t="s">
        <v>17</v>
      </c>
      <c r="B46" s="20" t="n">
        <f aca="false">'수출입 실적(성질별)'!D93</f>
        <v>3869333</v>
      </c>
      <c r="C46" s="20" t="n">
        <f aca="false">SUM('수출입 실적(성질별)'!D94:D104)</f>
        <v>3869331</v>
      </c>
      <c r="D46" s="18" t="n">
        <f aca="false">B46-C46</f>
        <v>2</v>
      </c>
      <c r="E46" s="19" t="str">
        <f aca="false">IF(ABS(D46)&lt;=$D$4,"일치","불일치")</f>
        <v>일치</v>
      </c>
      <c r="F46" s="20" t="n">
        <f aca="false">'수출입 실적(성질별)'!D105</f>
        <v>76244252</v>
      </c>
      <c r="G46" s="20" t="n">
        <f aca="false">SUM('수출입 실적(성질별)'!D106:D111)</f>
        <v>76244252</v>
      </c>
      <c r="H46" s="18" t="n">
        <f aca="false">F46-G46</f>
        <v>0</v>
      </c>
      <c r="I46" s="19" t="str">
        <f aca="false">IF(ABS(H46)&lt;=$D$4,"일치","불일치")</f>
        <v>일치</v>
      </c>
    </row>
    <row r="47" customFormat="false" ht="15" hidden="false" customHeight="false" outlineLevel="0" collapsed="false">
      <c r="A47" s="22" t="s">
        <v>18</v>
      </c>
      <c r="B47" s="20" t="n">
        <f aca="false">'수출입 실적(성질별)'!D114</f>
        <v>4060373</v>
      </c>
      <c r="C47" s="20" t="n">
        <f aca="false">SUM('수출입 실적(성질별)'!D115:D125)</f>
        <v>4060371</v>
      </c>
      <c r="D47" s="18" t="n">
        <f aca="false">B47-C47</f>
        <v>2</v>
      </c>
      <c r="E47" s="19" t="str">
        <f aca="false">IF(ABS(D47)&lt;=$D$4,"일치","불일치")</f>
        <v>일치</v>
      </c>
      <c r="F47" s="20" t="n">
        <f aca="false">'수출입 실적(성질별)'!D126</f>
        <v>90134786</v>
      </c>
      <c r="G47" s="20" t="n">
        <f aca="false">SUM('수출입 실적(성질별)'!D127:D132)</f>
        <v>90134786</v>
      </c>
      <c r="H47" s="18" t="n">
        <f aca="false">F47-G47</f>
        <v>0</v>
      </c>
      <c r="I47" s="19" t="str">
        <f aca="false">IF(ABS(H47)&lt;=$D$4,"일치","불일치")</f>
        <v>일치</v>
      </c>
    </row>
    <row r="48" customFormat="false" ht="15" hidden="false" customHeight="false" outlineLevel="0" collapsed="false">
      <c r="A48" s="22" t="s">
        <v>19</v>
      </c>
      <c r="B48" s="20" t="n">
        <f aca="false">'수출입 실적(성질별)'!D135</f>
        <v>3778039</v>
      </c>
      <c r="C48" s="20" t="n">
        <f aca="false">SUM('수출입 실적(성질별)'!D136:D146)</f>
        <v>3778037</v>
      </c>
      <c r="D48" s="18" t="n">
        <f aca="false">B48-C48</f>
        <v>2</v>
      </c>
      <c r="E48" s="19" t="str">
        <f aca="false">IF(ABS(D48)&lt;=$D$4,"일치","불일치")</f>
        <v>일치</v>
      </c>
      <c r="F48" s="20" t="n">
        <f aca="false">'수출입 실적(성질별)'!D147</f>
        <v>87202818</v>
      </c>
      <c r="G48" s="20" t="n">
        <f aca="false">SUM('수출입 실적(성질별)'!D148:D153)</f>
        <v>87202817</v>
      </c>
      <c r="H48" s="18" t="n">
        <f aca="false">F48-G48</f>
        <v>1</v>
      </c>
      <c r="I48" s="19" t="str">
        <f aca="false">IF(ABS(H48)&lt;=$D$4,"일치","불일치")</f>
        <v>일치</v>
      </c>
    </row>
    <row r="50" customFormat="false" ht="15" hidden="false" customHeight="false" outlineLevel="0" collapsed="false">
      <c r="A50" s="16" t="s">
        <v>99</v>
      </c>
      <c r="B50" s="16"/>
      <c r="C50" s="16"/>
      <c r="D50" s="16"/>
      <c r="E50" s="16"/>
      <c r="F50" s="16"/>
      <c r="G50" s="16"/>
      <c r="H50" s="16"/>
      <c r="I50" s="16"/>
    </row>
    <row r="51" customFormat="false" ht="15" hidden="false" customHeight="false" outlineLevel="0" collapsed="false">
      <c r="A51" s="17" t="s">
        <v>3</v>
      </c>
      <c r="B51" s="17" t="s">
        <v>100</v>
      </c>
      <c r="C51" s="17" t="s">
        <v>89</v>
      </c>
      <c r="D51" s="17" t="s">
        <v>76</v>
      </c>
      <c r="E51" s="17" t="s">
        <v>77</v>
      </c>
      <c r="F51" s="17" t="s">
        <v>101</v>
      </c>
      <c r="G51" s="17" t="s">
        <v>91</v>
      </c>
      <c r="H51" s="17" t="s">
        <v>76</v>
      </c>
      <c r="I51" s="17" t="s">
        <v>77</v>
      </c>
    </row>
    <row r="52" customFormat="false" ht="15" hidden="false" customHeight="false" outlineLevel="0" collapsed="false">
      <c r="A52" s="22" t="s">
        <v>13</v>
      </c>
      <c r="B52" s="20" t="n">
        <f aca="false">'수출입 실적(신성질별)'!D7+'수출입 실적(신성질별)'!D12+'수출입 실적(신성질별)'!D19</f>
        <v>65843937</v>
      </c>
      <c r="C52" s="20" t="n">
        <f aca="false">'수출입 총괄'!E7</f>
        <v>65843937</v>
      </c>
      <c r="D52" s="18" t="n">
        <f aca="false">B52-C52</f>
        <v>0</v>
      </c>
      <c r="E52" s="19" t="str">
        <f aca="false">IF(ABS(D52)&lt;=$D$4,"일치","불일치")</f>
        <v>일치</v>
      </c>
      <c r="F52" s="18" t="n">
        <f aca="false">'수출입 실적(신성질별)'!C7+'수출입 실적(신성질별)'!C12+'수출입 실적(신성질별)'!C19</f>
        <v>16739947.7</v>
      </c>
      <c r="G52" s="18" t="n">
        <f aca="false">'수출입 총괄'!D7</f>
        <v>16739947.8</v>
      </c>
      <c r="H52" s="18" t="n">
        <f aca="false">F52-G52</f>
        <v>-0.099999999627471</v>
      </c>
      <c r="I52" s="19" t="str">
        <f aca="false">IF(ABS(H52)&lt;=$B$4,"일치","불일치")</f>
        <v>일치</v>
      </c>
    </row>
    <row r="53" customFormat="false" ht="15" hidden="false" customHeight="false" outlineLevel="0" collapsed="false">
      <c r="A53" s="22" t="s">
        <v>14</v>
      </c>
      <c r="B53" s="20" t="n">
        <f aca="false">'수출입 실적(신성질별)'!D24+'수출입 실적(신성질별)'!D29+'수출입 실적(신성질별)'!D36</f>
        <v>67642547</v>
      </c>
      <c r="C53" s="20" t="n">
        <f aca="false">'수출입 총괄'!E8</f>
        <v>67642547</v>
      </c>
      <c r="D53" s="18" t="n">
        <f aca="false">B53-C53</f>
        <v>0</v>
      </c>
      <c r="E53" s="19" t="str">
        <f aca="false">IF(ABS(D53)&lt;=$D$4,"일치","불일치")</f>
        <v>일치</v>
      </c>
      <c r="F53" s="18" t="n">
        <f aca="false">'수출입 실적(신성질별)'!C24+'수출입 실적(신성질별)'!C29+'수출입 실적(신성질별)'!C36</f>
        <v>15601517.8</v>
      </c>
      <c r="G53" s="18" t="n">
        <f aca="false">'수출입 총괄'!D8</f>
        <v>15601517.8</v>
      </c>
      <c r="H53" s="18" t="n">
        <f aca="false">F53-G53</f>
        <v>0</v>
      </c>
      <c r="I53" s="19" t="str">
        <f aca="false">IF(ABS(H53)&lt;=$B$4,"일치","불일치")</f>
        <v>일치</v>
      </c>
    </row>
    <row r="54" customFormat="false" ht="15" hidden="false" customHeight="false" outlineLevel="0" collapsed="false">
      <c r="A54" s="22" t="s">
        <v>15</v>
      </c>
      <c r="B54" s="20" t="n">
        <f aca="false">'수출입 실적(신성질별)'!D41+'수출입 실적(신성질별)'!D46+'수출입 실적(신성질별)'!D53</f>
        <v>87333128</v>
      </c>
      <c r="C54" s="20" t="n">
        <f aca="false">'수출입 총괄'!E9</f>
        <v>87333128</v>
      </c>
      <c r="D54" s="18" t="n">
        <f aca="false">B54-C54</f>
        <v>0</v>
      </c>
      <c r="E54" s="19" t="str">
        <f aca="false">IF(ABS(D54)&lt;=$D$4,"일치","불일치")</f>
        <v>일치</v>
      </c>
      <c r="F54" s="18" t="n">
        <f aca="false">'수출입 실적(신성질별)'!C41+'수출입 실적(신성질별)'!C46+'수출입 실적(신성질별)'!C53</f>
        <v>16180251.9</v>
      </c>
      <c r="G54" s="18" t="n">
        <f aca="false">'수출입 총괄'!D9</f>
        <v>16180252</v>
      </c>
      <c r="H54" s="18" t="n">
        <f aca="false">F54-G54</f>
        <v>-0.099999999627471</v>
      </c>
      <c r="I54" s="19" t="str">
        <f aca="false">IF(ABS(H54)&lt;=$B$4,"일치","불일치")</f>
        <v>일치</v>
      </c>
    </row>
    <row r="55" customFormat="false" ht="15" hidden="false" customHeight="false" outlineLevel="0" collapsed="false">
      <c r="A55" s="22" t="s">
        <v>16</v>
      </c>
      <c r="B55" s="20" t="n">
        <f aca="false">'수출입 실적(신성질별)'!D58+'수출입 실적(신성질별)'!D63+'수출입 실적(신성질별)'!D70</f>
        <v>85751883</v>
      </c>
      <c r="C55" s="20" t="n">
        <f aca="false">'수출입 총괄'!E10</f>
        <v>85751883</v>
      </c>
      <c r="D55" s="18" t="n">
        <f aca="false">B55-C55</f>
        <v>0</v>
      </c>
      <c r="E55" s="19" t="str">
        <f aca="false">IF(ABS(D55)&lt;=$D$4,"일치","불일치")</f>
        <v>일치</v>
      </c>
      <c r="F55" s="18" t="n">
        <f aca="false">'수출입 실적(신성질별)'!C58+'수출입 실적(신성질별)'!C63+'수출입 실적(신성질별)'!C70</f>
        <v>14413704.2</v>
      </c>
      <c r="G55" s="18" t="n">
        <f aca="false">'수출입 총괄'!D10</f>
        <v>14413704.2</v>
      </c>
      <c r="H55" s="18" t="n">
        <f aca="false">F55-G55</f>
        <v>0</v>
      </c>
      <c r="I55" s="19" t="str">
        <f aca="false">IF(ABS(H55)&lt;=$B$4,"일치","불일치")</f>
        <v>일치</v>
      </c>
    </row>
    <row r="56" customFormat="false" ht="15" hidden="false" customHeight="false" outlineLevel="0" collapsed="false">
      <c r="A56" s="22" t="s">
        <v>17</v>
      </c>
      <c r="B56" s="20" t="n">
        <f aca="false">'수출입 실적(신성질별)'!D75+'수출입 실적(신성질별)'!D80+'수출입 실적(신성질별)'!D87</f>
        <v>87576083</v>
      </c>
      <c r="C56" s="20" t="n">
        <f aca="false">'수출입 총괄'!E11</f>
        <v>87576083</v>
      </c>
      <c r="D56" s="18" t="n">
        <f aca="false">B56-C56</f>
        <v>0</v>
      </c>
      <c r="E56" s="19" t="str">
        <f aca="false">IF(ABS(D56)&lt;=$D$4,"일치","불일치")</f>
        <v>일치</v>
      </c>
      <c r="F56" s="18" t="n">
        <f aca="false">'수출입 실적(신성질별)'!C75+'수출입 실적(신성질별)'!C80+'수출입 실적(신성질별)'!C87</f>
        <v>13589511.3</v>
      </c>
      <c r="G56" s="18" t="n">
        <f aca="false">'수출입 총괄'!D11</f>
        <v>13589511.3</v>
      </c>
      <c r="H56" s="18" t="n">
        <f aca="false">F56-G56</f>
        <v>0</v>
      </c>
      <c r="I56" s="19" t="str">
        <f aca="false">IF(ABS(H56)&lt;=$B$4,"일치","불일치")</f>
        <v>일치</v>
      </c>
    </row>
    <row r="57" customFormat="false" ht="15" hidden="false" customHeight="false" outlineLevel="0" collapsed="false">
      <c r="A57" s="22" t="s">
        <v>18</v>
      </c>
      <c r="B57" s="20" t="n">
        <f aca="false">'수출입 실적(신성질별)'!D92+'수출입 실적(신성질별)'!D97+'수출입 실적(신성질별)'!D104</f>
        <v>101956159</v>
      </c>
      <c r="C57" s="20" t="n">
        <f aca="false">'수출입 총괄'!E12</f>
        <v>101956159</v>
      </c>
      <c r="D57" s="18" t="n">
        <f aca="false">B57-C57</f>
        <v>0</v>
      </c>
      <c r="E57" s="19" t="str">
        <f aca="false">IF(ABS(D57)&lt;=$D$4,"일치","불일치")</f>
        <v>일치</v>
      </c>
      <c r="F57" s="18" t="n">
        <f aca="false">'수출입 실적(신성질별)'!C92+'수출입 실적(신성질별)'!C97+'수출입 실적(신성질별)'!C104</f>
        <v>15687925.8</v>
      </c>
      <c r="G57" s="18" t="n">
        <f aca="false">'수출입 총괄'!D12</f>
        <v>15687925.9</v>
      </c>
      <c r="H57" s="18" t="n">
        <f aca="false">F57-G57</f>
        <v>-0.099999999627471</v>
      </c>
      <c r="I57" s="19" t="str">
        <f aca="false">IF(ABS(H57)&lt;=$B$4,"일치","불일치")</f>
        <v>일치</v>
      </c>
    </row>
    <row r="58" customFormat="false" ht="15" hidden="false" customHeight="false" outlineLevel="0" collapsed="false">
      <c r="A58" s="22" t="s">
        <v>19</v>
      </c>
      <c r="B58" s="20" t="n">
        <f aca="false">'수출입 실적(신성질별)'!D109+'수출입 실적(신성질별)'!D114+'수출입 실적(신성질별)'!D121</f>
        <v>98959099</v>
      </c>
      <c r="C58" s="20" t="n">
        <f aca="false">'수출입 총괄'!E13</f>
        <v>98959099</v>
      </c>
      <c r="D58" s="18" t="n">
        <f aca="false">B58-C58</f>
        <v>0</v>
      </c>
      <c r="E58" s="19" t="str">
        <f aca="false">IF(ABS(D58)&lt;=$D$4,"일치","불일치")</f>
        <v>일치</v>
      </c>
      <c r="F58" s="18" t="n">
        <f aca="false">'수출입 실적(신성질별)'!C109+'수출입 실적(신성질별)'!C114+'수출입 실적(신성질별)'!C121</f>
        <v>17660680.7</v>
      </c>
      <c r="G58" s="18" t="n">
        <f aca="false">'수출입 총괄'!D13</f>
        <v>17660680.7</v>
      </c>
      <c r="H58" s="18" t="n">
        <f aca="false">F58-G58</f>
        <v>0</v>
      </c>
      <c r="I58" s="19" t="str">
        <f aca="false">IF(ABS(H58)&lt;=$B$4,"일치","불일치")</f>
        <v>일치</v>
      </c>
    </row>
    <row r="59" customFormat="false" ht="15" hidden="false" customHeight="false" outlineLevel="0" collapsed="false">
      <c r="A59" s="22" t="s">
        <v>92</v>
      </c>
      <c r="B59" s="23" t="n">
        <f aca="false">SUM(B52:B58)</f>
        <v>595062836</v>
      </c>
      <c r="C59" s="23" t="n">
        <f aca="false">'수출입 실적(신성질별)'!D6</f>
        <v>595062835</v>
      </c>
      <c r="D59" s="18" t="n">
        <f aca="false">B59-C59</f>
        <v>1</v>
      </c>
      <c r="E59" s="19" t="str">
        <f aca="false">IF(ABS(D59)&lt;=$D$4*7,"일치(누계 반올림오차)","불일치")</f>
        <v>일치(누계 반올림오차)</v>
      </c>
      <c r="F59" s="24" t="n">
        <f aca="false">SUM(F52:F58)</f>
        <v>109873539.4</v>
      </c>
      <c r="G59" s="24" t="n">
        <f aca="false">'수출입 실적(신성질별)'!C6</f>
        <v>109873539.6</v>
      </c>
      <c r="H59" s="18" t="n">
        <f aca="false">F59-G59</f>
        <v>-0.199999988079071</v>
      </c>
      <c r="I59" s="19" t="str">
        <f aca="false">IF(ABS(H59)&lt;=$B$4*7,"일치(누계 반올림오차)","불일치")</f>
        <v>일치(누계 반올림오차)</v>
      </c>
    </row>
    <row r="61" customFormat="false" ht="15" hidden="false" customHeight="false" outlineLevel="0" collapsed="false">
      <c r="A61" s="16" t="s">
        <v>102</v>
      </c>
      <c r="B61" s="16"/>
      <c r="C61" s="16"/>
      <c r="D61" s="16"/>
      <c r="E61" s="16"/>
      <c r="F61" s="16"/>
      <c r="G61" s="16"/>
      <c r="H61" s="16"/>
      <c r="I61" s="16"/>
    </row>
    <row r="62" customFormat="false" ht="15" hidden="false" customHeight="false" outlineLevel="0" collapsed="false">
      <c r="A62" s="17" t="s">
        <v>3</v>
      </c>
      <c r="B62" s="26" t="s">
        <v>103</v>
      </c>
      <c r="C62" s="26" t="s">
        <v>104</v>
      </c>
      <c r="D62" s="26" t="s">
        <v>105</v>
      </c>
      <c r="E62" s="17" t="s">
        <v>106</v>
      </c>
    </row>
    <row r="63" customFormat="false" ht="15" hidden="false" customHeight="false" outlineLevel="0" collapsed="false">
      <c r="A63" s="22" t="s">
        <v>13</v>
      </c>
      <c r="B63" s="18" t="n">
        <f aca="false">'수출입 실적(신성질별)'!D7-SUM('수출입 실적(신성질별)'!D8:D11)</f>
        <v>0</v>
      </c>
      <c r="C63" s="18" t="n">
        <f aca="false">'수출입 실적(신성질별)'!D12-SUM('수출입 실적(신성질별)'!D13:D18)</f>
        <v>0</v>
      </c>
      <c r="D63" s="18" t="n">
        <f aca="false">'수출입 실적(신성질별)'!D19-SUM('수출입 실적(신성질별)'!D20:D23)</f>
        <v>0</v>
      </c>
      <c r="E63" s="19" t="str">
        <f aca="false">IF(MAX(ABS(B63),ABS(C63),ABS(D63))&lt;=$D$4,"일치","불일치")</f>
        <v>일치</v>
      </c>
    </row>
    <row r="64" customFormat="false" ht="15" hidden="false" customHeight="false" outlineLevel="0" collapsed="false">
      <c r="A64" s="22" t="s">
        <v>14</v>
      </c>
      <c r="B64" s="18" t="n">
        <f aca="false">'수출입 실적(신성질별)'!D24-SUM('수출입 실적(신성질별)'!D25:D28)</f>
        <v>-1</v>
      </c>
      <c r="C64" s="18" t="n">
        <f aca="false">'수출입 실적(신성질별)'!D29-SUM('수출입 실적(신성질별)'!D30:D35)</f>
        <v>0</v>
      </c>
      <c r="D64" s="18" t="n">
        <f aca="false">'수출입 실적(신성질별)'!D36-SUM('수출입 실적(신성질별)'!D37:D40)</f>
        <v>0</v>
      </c>
      <c r="E64" s="19" t="str">
        <f aca="false">IF(MAX(ABS(B64),ABS(C64),ABS(D64))&lt;=$D$4,"일치","불일치")</f>
        <v>일치</v>
      </c>
    </row>
    <row r="65" customFormat="false" ht="15" hidden="false" customHeight="false" outlineLevel="0" collapsed="false">
      <c r="A65" s="22" t="s">
        <v>15</v>
      </c>
      <c r="B65" s="18" t="n">
        <f aca="false">'수출입 실적(신성질별)'!D41-SUM('수출입 실적(신성질별)'!D42:D45)</f>
        <v>1</v>
      </c>
      <c r="C65" s="18" t="n">
        <f aca="false">'수출입 실적(신성질별)'!D46-SUM('수출입 실적(신성질별)'!D47:D52)</f>
        <v>-1</v>
      </c>
      <c r="D65" s="18" t="n">
        <f aca="false">'수출입 실적(신성질별)'!D53-SUM('수출입 실적(신성질별)'!D54:D57)</f>
        <v>1</v>
      </c>
      <c r="E65" s="19" t="str">
        <f aca="false">IF(MAX(ABS(B65),ABS(C65),ABS(D65))&lt;=$D$4,"일치","불일치")</f>
        <v>일치</v>
      </c>
    </row>
    <row r="66" customFormat="false" ht="15" hidden="false" customHeight="false" outlineLevel="0" collapsed="false">
      <c r="A66" s="22" t="s">
        <v>16</v>
      </c>
      <c r="B66" s="18" t="n">
        <f aca="false">'수출입 실적(신성질별)'!D58-SUM('수출입 실적(신성질별)'!D59:D62)</f>
        <v>1</v>
      </c>
      <c r="C66" s="18" t="n">
        <f aca="false">'수출입 실적(신성질별)'!D63-SUM('수출입 실적(신성질별)'!D64:D69)</f>
        <v>0</v>
      </c>
      <c r="D66" s="18" t="n">
        <f aca="false">'수출입 실적(신성질별)'!D70-SUM('수출입 실적(신성질별)'!D71:D74)</f>
        <v>0</v>
      </c>
      <c r="E66" s="19" t="str">
        <f aca="false">IF(MAX(ABS(B66),ABS(C66),ABS(D66))&lt;=$D$4,"일치","불일치")</f>
        <v>일치</v>
      </c>
    </row>
    <row r="67" customFormat="false" ht="15" hidden="false" customHeight="false" outlineLevel="0" collapsed="false">
      <c r="A67" s="22" t="s">
        <v>17</v>
      </c>
      <c r="B67" s="18" t="n">
        <f aca="false">'수출입 실적(신성질별)'!D75-SUM('수출입 실적(신성질별)'!D76:D79)</f>
        <v>0</v>
      </c>
      <c r="C67" s="18" t="n">
        <f aca="false">'수출입 실적(신성질별)'!D80-SUM('수출입 실적(신성질별)'!D81:D86)</f>
        <v>-1</v>
      </c>
      <c r="D67" s="18" t="n">
        <f aca="false">'수출입 실적(신성질별)'!D87-SUM('수출입 실적(신성질별)'!D88:D91)</f>
        <v>0</v>
      </c>
      <c r="E67" s="19" t="str">
        <f aca="false">IF(MAX(ABS(B67),ABS(C67),ABS(D67))&lt;=$D$4,"일치","불일치")</f>
        <v>일치</v>
      </c>
    </row>
    <row r="68" customFormat="false" ht="15" hidden="false" customHeight="false" outlineLevel="0" collapsed="false">
      <c r="A68" s="22" t="s">
        <v>18</v>
      </c>
      <c r="B68" s="18" t="n">
        <f aca="false">'수출입 실적(신성질별)'!D92-SUM('수출입 실적(신성질별)'!D93:D96)</f>
        <v>0</v>
      </c>
      <c r="C68" s="18" t="n">
        <f aca="false">'수출입 실적(신성질별)'!D97-SUM('수출입 실적(신성질별)'!D98:D103)</f>
        <v>1</v>
      </c>
      <c r="D68" s="18" t="n">
        <f aca="false">'수출입 실적(신성질별)'!D104-SUM('수출입 실적(신성질별)'!D105:D108)</f>
        <v>0</v>
      </c>
      <c r="E68" s="19" t="str">
        <f aca="false">IF(MAX(ABS(B68),ABS(C68),ABS(D68))&lt;=$D$4,"일치","불일치")</f>
        <v>일치</v>
      </c>
    </row>
    <row r="69" customFormat="false" ht="15" hidden="false" customHeight="false" outlineLevel="0" collapsed="false">
      <c r="A69" s="22" t="s">
        <v>19</v>
      </c>
      <c r="B69" s="18" t="n">
        <f aca="false">'수출입 실적(신성질별)'!D109-SUM('수출입 실적(신성질별)'!D110:D113)</f>
        <v>-1</v>
      </c>
      <c r="C69" s="18" t="n">
        <f aca="false">'수출입 실적(신성질별)'!D114-SUM('수출입 실적(신성질별)'!D115:D120)</f>
        <v>0</v>
      </c>
      <c r="D69" s="18" t="n">
        <f aca="false">'수출입 실적(신성질별)'!D121-SUM('수출입 실적(신성질별)'!D122:D125)</f>
        <v>1</v>
      </c>
      <c r="E69" s="19" t="str">
        <f aca="false">IF(MAX(ABS(B69),ABS(C69),ABS(D69))&lt;=$D$4,"일치","불일치")</f>
        <v>일치</v>
      </c>
    </row>
    <row r="71" customFormat="false" ht="15" hidden="false" customHeight="false" outlineLevel="0" collapsed="false">
      <c r="A71" s="16" t="s">
        <v>107</v>
      </c>
      <c r="B71" s="16"/>
      <c r="C71" s="16"/>
      <c r="D71" s="16"/>
      <c r="E71" s="16"/>
      <c r="F71" s="16"/>
      <c r="G71" s="16"/>
      <c r="H71" s="16"/>
      <c r="I71" s="16"/>
    </row>
    <row r="72" customFormat="false" ht="15" hidden="false" customHeight="false" outlineLevel="0" collapsed="false">
      <c r="A72" s="17" t="s">
        <v>108</v>
      </c>
      <c r="B72" s="17" t="s">
        <v>109</v>
      </c>
      <c r="C72" s="17" t="s">
        <v>110</v>
      </c>
    </row>
    <row r="73" customFormat="false" ht="15" hidden="false" customHeight="false" outlineLevel="0" collapsed="false">
      <c r="A73" s="13" t="s">
        <v>111</v>
      </c>
      <c r="B73" s="20" t="n">
        <f aca="false">'수출입 총괄'!E6</f>
        <v>595062835</v>
      </c>
      <c r="C73" s="18" t="n">
        <f aca="false">'수출입 총괄'!D6</f>
        <v>109873539.6</v>
      </c>
    </row>
    <row r="74" customFormat="false" ht="15" hidden="false" customHeight="false" outlineLevel="0" collapsed="false">
      <c r="A74" s="13" t="s">
        <v>112</v>
      </c>
      <c r="B74" s="20" t="n">
        <f aca="false">'수출입 실적(성질별)'!D6</f>
        <v>595062835</v>
      </c>
      <c r="C74" s="18" t="n">
        <f aca="false">'수출입 실적(성질별)'!C6</f>
        <v>109873539.6</v>
      </c>
    </row>
    <row r="75" customFormat="false" ht="15" hidden="false" customHeight="false" outlineLevel="0" collapsed="false">
      <c r="A75" s="13" t="s">
        <v>113</v>
      </c>
      <c r="B75" s="20" t="n">
        <f aca="false">'수출입 실적(신성질별)'!D6</f>
        <v>595062835</v>
      </c>
      <c r="C75" s="18" t="n">
        <f aca="false">'수출입 실적(신성질별)'!C6</f>
        <v>109873539.6</v>
      </c>
    </row>
    <row r="76" customFormat="false" ht="15" hidden="false" customHeight="false" outlineLevel="0" collapsed="false">
      <c r="A76" s="13" t="s">
        <v>114</v>
      </c>
      <c r="B76" s="24" t="n">
        <f aca="false">MAX(B73:B75)-MIN(B73:B75)</f>
        <v>0</v>
      </c>
      <c r="C76" s="24" t="n">
        <f aca="false">MAX(C73:C75)-MIN(C73:C75)</f>
        <v>0</v>
      </c>
    </row>
    <row r="77" customFormat="false" ht="15" hidden="false" customHeight="false" outlineLevel="0" collapsed="false">
      <c r="A77" s="13" t="s">
        <v>77</v>
      </c>
      <c r="B77" s="19" t="str">
        <f aca="false">IF(B76&lt;=$D$4,"3개 시트 일치","불일치")</f>
        <v>3개 시트 일치</v>
      </c>
      <c r="C77" s="19" t="str">
        <f aca="false">IF(C76&lt;=$B$4,"3개 시트 일치","불일치")</f>
        <v>3개 시트 일치</v>
      </c>
    </row>
    <row r="79" customFormat="false" ht="15" hidden="false" customHeight="false" outlineLevel="0" collapsed="false">
      <c r="A79" s="27" t="s">
        <v>115</v>
      </c>
      <c r="B79" s="27"/>
      <c r="C79" s="27"/>
      <c r="D79" s="27"/>
      <c r="E79" s="27"/>
      <c r="F79" s="27"/>
      <c r="G79" s="27"/>
      <c r="H79" s="27"/>
      <c r="I79" s="27"/>
    </row>
    <row r="80" customFormat="false" ht="15" hidden="false" customHeight="false" outlineLevel="0" collapsed="false">
      <c r="A80" s="28" t="str">
        <f aca="false">IF(COUNTIF(B1:B79,"불일치")+COUNTIF(C1:C79,"불일치")+COUNTIF(D1:D79,"불일치")+COUNTIF(E1:E79,"불일치")+COUNTIF(G1:G79,"불일치")+COUNTIF(I1:I79,"불일치")=0,"검증 결과: 모든 항목이 허용오차(반올림) 이내에서 일치합니다.","검증 결과: 불일치 항목이 있습니다. 위 표의 판정열을 확인하세요.")</f>
        <v>검증 결과: 모든 항목이 허용오차(반올림) 이내에서 일치합니다.</v>
      </c>
      <c r="B80" s="28"/>
      <c r="C80" s="28"/>
      <c r="D80" s="28"/>
      <c r="E80" s="28"/>
      <c r="F80" s="28"/>
      <c r="G80" s="28"/>
      <c r="H80" s="28"/>
      <c r="I80" s="28"/>
    </row>
    <row r="81" customFormat="false" ht="15" hidden="false" customHeight="true" outlineLevel="0" collapsed="false">
      <c r="A81" s="12" t="s">
        <v>116</v>
      </c>
      <c r="B81" s="12"/>
      <c r="C81" s="12"/>
      <c r="D81" s="12"/>
      <c r="E81" s="12"/>
      <c r="F81" s="12"/>
      <c r="G81" s="12"/>
      <c r="H81" s="12"/>
      <c r="I81" s="12"/>
    </row>
  </sheetData>
  <mergeCells count="14">
    <mergeCell ref="A1:I1"/>
    <mergeCell ref="A2:I2"/>
    <mergeCell ref="A3:I3"/>
    <mergeCell ref="A6:I6"/>
    <mergeCell ref="A17:I17"/>
    <mergeCell ref="A28:I28"/>
    <mergeCell ref="A38:I38"/>
    <mergeCell ref="A40:I40"/>
    <mergeCell ref="A50:I50"/>
    <mergeCell ref="A61:I61"/>
    <mergeCell ref="A71:I71"/>
    <mergeCell ref="A79:I79"/>
    <mergeCell ref="A80:I80"/>
    <mergeCell ref="A81: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7" min="4" style="1" width="15"/>
    <col collapsed="false" customWidth="true" hidden="false" outlineLevel="0" max="9" min="8" style="1" width="11"/>
    <col collapsed="false" customWidth="true" hidden="false" outlineLevel="0" max="10" min="10" style="1" width="14"/>
    <col collapsed="false" customWidth="true" hidden="false" outlineLevel="0" max="11" min="11" style="1" width="15"/>
    <col collapsed="false" customWidth="true" hidden="false" outlineLevel="0" max="12" min="12" style="1" width="11"/>
    <col collapsed="false" customWidth="true" hidden="false" outlineLevel="0" max="15" min="13" style="1" width="13"/>
    <col collapsed="false" customWidth="true" hidden="false" outlineLevel="0" max="17" min="16" style="1" width="16"/>
    <col collapsed="false" customWidth="true" hidden="false" outlineLevel="0" max="18" min="18" style="1" width="10"/>
  </cols>
  <sheetData>
    <row r="1" customFormat="false" ht="21.75" hidden="false" customHeight="true" outlineLevel="0" collapsed="false">
      <c r="A1" s="11" t="s">
        <v>117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customFormat="false" ht="15" hidden="false" customHeight="true" outlineLevel="0" collapsed="false">
      <c r="A2" s="12" t="s">
        <v>118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customFormat="false" ht="15" hidden="false" customHeight="true" outlineLevel="0" collapsed="false">
      <c r="A3" s="12" t="s">
        <v>119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customFormat="false" ht="31.5" hidden="false" customHeight="true" outlineLevel="0" collapsed="false">
      <c r="A5" s="17" t="s">
        <v>3</v>
      </c>
      <c r="B5" s="17" t="s">
        <v>4</v>
      </c>
      <c r="C5" s="17" t="s">
        <v>5</v>
      </c>
      <c r="D5" s="17" t="s">
        <v>110</v>
      </c>
      <c r="E5" s="17" t="s">
        <v>109</v>
      </c>
      <c r="F5" s="17" t="s">
        <v>120</v>
      </c>
      <c r="G5" s="17" t="s">
        <v>121</v>
      </c>
      <c r="H5" s="17" t="s">
        <v>122</v>
      </c>
      <c r="I5" s="17" t="s">
        <v>123</v>
      </c>
      <c r="J5" s="17" t="s">
        <v>124</v>
      </c>
      <c r="K5" s="17" t="s">
        <v>125</v>
      </c>
      <c r="L5" s="17" t="s">
        <v>126</v>
      </c>
      <c r="M5" s="17" t="s">
        <v>127</v>
      </c>
      <c r="N5" s="17" t="s">
        <v>128</v>
      </c>
      <c r="O5" s="17" t="s">
        <v>129</v>
      </c>
      <c r="P5" s="17" t="s">
        <v>130</v>
      </c>
      <c r="Q5" s="17" t="s">
        <v>131</v>
      </c>
    </row>
    <row r="6" customFormat="false" ht="15" hidden="false" customHeight="false" outlineLevel="0" collapsed="false">
      <c r="A6" s="29" t="s">
        <v>13</v>
      </c>
      <c r="B6" s="18" t="n">
        <f aca="false">'수출입 총괄'!B7</f>
        <v>23.5</v>
      </c>
      <c r="C6" s="20" t="n">
        <f aca="false">'수출입 총괄'!C7</f>
        <v>1027989</v>
      </c>
      <c r="D6" s="18" t="n">
        <f aca="false">'수출입 총괄'!D7</f>
        <v>16739947.8</v>
      </c>
      <c r="E6" s="20" t="n">
        <f aca="false">'수출입 총괄'!E7</f>
        <v>65843937</v>
      </c>
      <c r="F6" s="20" t="n">
        <f aca="false">'수출입 총괄'!H7</f>
        <v>57143469</v>
      </c>
      <c r="G6" s="20" t="n">
        <f aca="false">'수출입 총괄'!I7</f>
        <v>8700468</v>
      </c>
      <c r="H6" s="30"/>
      <c r="I6" s="30"/>
      <c r="J6" s="20"/>
      <c r="K6" s="20" t="n">
        <f aca="false">E6/B6</f>
        <v>2801869.65957447</v>
      </c>
      <c r="L6" s="30"/>
      <c r="M6" s="31" t="n">
        <f aca="false">E6/D6</f>
        <v>3.93334183515196</v>
      </c>
      <c r="N6" s="31" t="n">
        <f aca="false">F6/'수출입 총괄'!G7</f>
        <v>1.14252396529967</v>
      </c>
      <c r="O6" s="32" t="n">
        <f aca="false">M6/N6</f>
        <v>3.44267775085164</v>
      </c>
      <c r="P6" s="20" t="n">
        <f aca="false">SUM($E$6:E6)</f>
        <v>65843937</v>
      </c>
      <c r="Q6" s="20" t="n">
        <f aca="false">SUM($G$6:G6)</f>
        <v>8700468</v>
      </c>
    </row>
    <row r="7" customFormat="false" ht="15" hidden="false" customHeight="false" outlineLevel="0" collapsed="false">
      <c r="A7" s="29" t="s">
        <v>14</v>
      </c>
      <c r="B7" s="18" t="n">
        <f aca="false">'수출입 총괄'!B8</f>
        <v>19</v>
      </c>
      <c r="C7" s="20" t="n">
        <f aca="false">'수출입 총괄'!C8</f>
        <v>970132</v>
      </c>
      <c r="D7" s="18" t="n">
        <f aca="false">'수출입 총괄'!D8</f>
        <v>15601517.8</v>
      </c>
      <c r="E7" s="20" t="n">
        <f aca="false">'수출입 총괄'!E8</f>
        <v>67642547</v>
      </c>
      <c r="F7" s="20" t="n">
        <f aca="false">'수출입 총괄'!H8</f>
        <v>51933913</v>
      </c>
      <c r="G7" s="20" t="n">
        <f aca="false">'수출입 총괄'!I8</f>
        <v>15708634</v>
      </c>
      <c r="H7" s="30" t="n">
        <f aca="false">E7/E6-1</f>
        <v>0.0273162584430515</v>
      </c>
      <c r="I7" s="30" t="n">
        <f aca="false">F7/F6-1</f>
        <v>-0.091166253837337</v>
      </c>
      <c r="J7" s="20" t="n">
        <f aca="false">G7-G6</f>
        <v>7008166</v>
      </c>
      <c r="K7" s="20" t="n">
        <f aca="false">E7/B7</f>
        <v>3560134.05263158</v>
      </c>
      <c r="L7" s="30" t="n">
        <f aca="false">K7/K6-1</f>
        <v>0.270628003863774</v>
      </c>
      <c r="M7" s="31" t="n">
        <f aca="false">E7/D7</f>
        <v>4.33563886970023</v>
      </c>
      <c r="N7" s="31" t="n">
        <f aca="false">F7/'수출입 총괄'!G8</f>
        <v>1.19930648959583</v>
      </c>
      <c r="O7" s="32" t="n">
        <f aca="false">M7/N7</f>
        <v>3.61512166182087</v>
      </c>
      <c r="P7" s="20" t="n">
        <f aca="false">SUM($E$6:E7)</f>
        <v>133486484</v>
      </c>
      <c r="Q7" s="20" t="n">
        <f aca="false">SUM($G$6:G7)</f>
        <v>24409102</v>
      </c>
    </row>
    <row r="8" customFormat="false" ht="15" hidden="false" customHeight="false" outlineLevel="0" collapsed="false">
      <c r="A8" s="29" t="s">
        <v>15</v>
      </c>
      <c r="B8" s="18" t="n">
        <f aca="false">'수출입 총괄'!B9</f>
        <v>23</v>
      </c>
      <c r="C8" s="20" t="n">
        <f aca="false">'수출입 총괄'!C9</f>
        <v>1439801</v>
      </c>
      <c r="D8" s="18" t="n">
        <f aca="false">'수출입 총괄'!D9</f>
        <v>16180252</v>
      </c>
      <c r="E8" s="20" t="n">
        <f aca="false">'수출입 총괄'!E9</f>
        <v>87333128</v>
      </c>
      <c r="F8" s="20" t="n">
        <f aca="false">'수출입 총괄'!H9</f>
        <v>60753446</v>
      </c>
      <c r="G8" s="20" t="n">
        <f aca="false">'수출입 총괄'!I9</f>
        <v>26579682</v>
      </c>
      <c r="H8" s="30" t="n">
        <f aca="false">E8/E7-1</f>
        <v>0.29109756910839</v>
      </c>
      <c r="I8" s="30" t="n">
        <f aca="false">F8/F7-1</f>
        <v>0.169822231573423</v>
      </c>
      <c r="J8" s="20" t="n">
        <f aca="false">G8-G7</f>
        <v>10871048</v>
      </c>
      <c r="K8" s="20" t="n">
        <f aca="false">E8/B8</f>
        <v>3797092.52173913</v>
      </c>
      <c r="L8" s="30" t="n">
        <f aca="false">K8/K7-1</f>
        <v>0.0665588614373653</v>
      </c>
      <c r="M8" s="31" t="n">
        <f aca="false">E8/D8</f>
        <v>5.3975134627075</v>
      </c>
      <c r="N8" s="31" t="n">
        <f aca="false">F8/'수출입 총괄'!G9</f>
        <v>1.38184635867779</v>
      </c>
      <c r="O8" s="32" t="n">
        <f aca="false">M8/N8</f>
        <v>3.90601562092045</v>
      </c>
      <c r="P8" s="20" t="n">
        <f aca="false">SUM($E$6:E8)</f>
        <v>220819612</v>
      </c>
      <c r="Q8" s="20" t="n">
        <f aca="false">SUM($G$6:G8)</f>
        <v>50988784</v>
      </c>
    </row>
    <row r="9" customFormat="false" ht="15" hidden="false" customHeight="false" outlineLevel="0" collapsed="false">
      <c r="A9" s="29" t="s">
        <v>16</v>
      </c>
      <c r="B9" s="18" t="n">
        <f aca="false">'수출입 총괄'!B10</f>
        <v>24</v>
      </c>
      <c r="C9" s="20" t="n">
        <f aca="false">'수출입 총괄'!C10</f>
        <v>1130727</v>
      </c>
      <c r="D9" s="18" t="n">
        <f aca="false">'수출입 총괄'!D10</f>
        <v>14413704.2</v>
      </c>
      <c r="E9" s="20" t="n">
        <f aca="false">'수출입 총괄'!E10</f>
        <v>85751883</v>
      </c>
      <c r="F9" s="20" t="n">
        <f aca="false">'수출입 총괄'!H10</f>
        <v>62104908</v>
      </c>
      <c r="G9" s="20" t="n">
        <f aca="false">'수출입 총괄'!I10</f>
        <v>23646975</v>
      </c>
      <c r="H9" s="30" t="n">
        <f aca="false">E9/E8-1</f>
        <v>-0.0181059013482261</v>
      </c>
      <c r="I9" s="30" t="n">
        <f aca="false">F9/F8-1</f>
        <v>0.0222450262327507</v>
      </c>
      <c r="J9" s="20" t="n">
        <f aca="false">G9-G8</f>
        <v>-2932707</v>
      </c>
      <c r="K9" s="20" t="n">
        <f aca="false">E9/B9</f>
        <v>3572995.125</v>
      </c>
      <c r="L9" s="30" t="n">
        <f aca="false">K9/K8-1</f>
        <v>-0.0590181554587166</v>
      </c>
      <c r="M9" s="31" t="n">
        <f aca="false">E9/D9</f>
        <v>5.94933001330775</v>
      </c>
      <c r="N9" s="31" t="n">
        <f aca="false">F9/'수출입 총괄'!G10</f>
        <v>1.47874177743768</v>
      </c>
      <c r="O9" s="32" t="n">
        <f aca="false">M9/N9</f>
        <v>4.02323793381735</v>
      </c>
      <c r="P9" s="20" t="n">
        <f aca="false">SUM($E$6:E9)</f>
        <v>306571495</v>
      </c>
      <c r="Q9" s="20" t="n">
        <f aca="false">SUM($G$6:G9)</f>
        <v>74635759</v>
      </c>
    </row>
    <row r="10" customFormat="false" ht="15" hidden="false" customHeight="false" outlineLevel="0" collapsed="false">
      <c r="A10" s="29" t="s">
        <v>17</v>
      </c>
      <c r="B10" s="18" t="n">
        <f aca="false">'수출입 총괄'!B11</f>
        <v>20.5</v>
      </c>
      <c r="C10" s="20" t="n">
        <f aca="false">'수출입 총괄'!C11</f>
        <v>993936</v>
      </c>
      <c r="D10" s="18" t="n">
        <f aca="false">'수출입 총괄'!D11</f>
        <v>13589511.3</v>
      </c>
      <c r="E10" s="20" t="n">
        <f aca="false">'수출입 총괄'!E11</f>
        <v>87576083</v>
      </c>
      <c r="F10" s="20" t="n">
        <f aca="false">'수출입 총괄'!H11</f>
        <v>60748350</v>
      </c>
      <c r="G10" s="20" t="n">
        <f aca="false">'수출입 총괄'!I11</f>
        <v>26827733</v>
      </c>
      <c r="H10" s="30" t="n">
        <f aca="false">E10/E9-1</f>
        <v>0.0212730022499914</v>
      </c>
      <c r="I10" s="30" t="n">
        <f aca="false">F10/F9-1</f>
        <v>-0.0218430079632354</v>
      </c>
      <c r="J10" s="20" t="n">
        <f aca="false">G10-G9</f>
        <v>3180758</v>
      </c>
      <c r="K10" s="20" t="n">
        <f aca="false">E10/B10</f>
        <v>4272004.04878049</v>
      </c>
      <c r="L10" s="30" t="n">
        <f aca="false">K10/K9-1</f>
        <v>0.195636685560965</v>
      </c>
      <c r="M10" s="31" t="n">
        <f aca="false">E10/D10</f>
        <v>6.44438795970537</v>
      </c>
      <c r="N10" s="31" t="n">
        <f aca="false">F10/'수출입 총괄'!G11</f>
        <v>1.52912533912799</v>
      </c>
      <c r="O10" s="32" t="n">
        <f aca="false">M10/N10</f>
        <v>4.21442755201504</v>
      </c>
      <c r="P10" s="20" t="n">
        <f aca="false">SUM($E$6:E10)</f>
        <v>394147578</v>
      </c>
      <c r="Q10" s="20" t="n">
        <f aca="false">SUM($G$6:G10)</f>
        <v>101463492</v>
      </c>
    </row>
    <row r="11" customFormat="false" ht="15" hidden="false" customHeight="false" outlineLevel="0" collapsed="false">
      <c r="A11" s="29" t="s">
        <v>18</v>
      </c>
      <c r="B11" s="18" t="n">
        <f aca="false">'수출입 총괄'!B12</f>
        <v>22.5</v>
      </c>
      <c r="C11" s="20" t="n">
        <f aca="false">'수출입 총괄'!C12</f>
        <v>1245865</v>
      </c>
      <c r="D11" s="18" t="n">
        <f aca="false">'수출입 총괄'!D12</f>
        <v>15687925.9</v>
      </c>
      <c r="E11" s="20" t="n">
        <f aca="false">'수출입 총괄'!E12</f>
        <v>101956159</v>
      </c>
      <c r="F11" s="20" t="n">
        <f aca="false">'수출입 총괄'!H12</f>
        <v>66051586</v>
      </c>
      <c r="G11" s="20" t="n">
        <f aca="false">'수출입 총괄'!I12</f>
        <v>35904573</v>
      </c>
      <c r="H11" s="30" t="n">
        <f aca="false">E11/E10-1</f>
        <v>0.164200949704499</v>
      </c>
      <c r="I11" s="30" t="n">
        <f aca="false">F11/F10-1</f>
        <v>0.0872984369122782</v>
      </c>
      <c r="J11" s="20" t="n">
        <f aca="false">G11-G10</f>
        <v>9076840</v>
      </c>
      <c r="K11" s="20" t="n">
        <f aca="false">E11/B11</f>
        <v>4531384.84444444</v>
      </c>
      <c r="L11" s="30" t="n">
        <f aca="false">K11/K10-1</f>
        <v>0.0607164208418765</v>
      </c>
      <c r="M11" s="31" t="n">
        <f aca="false">E11/D11</f>
        <v>6.49902094450867</v>
      </c>
      <c r="N11" s="31" t="n">
        <f aca="false">F11/'수출입 총괄'!G12</f>
        <v>1.51185634742235</v>
      </c>
      <c r="O11" s="32" t="n">
        <f aca="false">M11/N11</f>
        <v>4.29870268798303</v>
      </c>
      <c r="P11" s="20" t="n">
        <f aca="false">SUM($E$6:E11)</f>
        <v>496103737</v>
      </c>
      <c r="Q11" s="20" t="n">
        <f aca="false">SUM($G$6:G11)</f>
        <v>137368065</v>
      </c>
    </row>
    <row r="12" customFormat="false" ht="15" hidden="false" customHeight="false" outlineLevel="0" collapsed="false">
      <c r="A12" s="29" t="s">
        <v>19</v>
      </c>
      <c r="B12" s="18" t="n">
        <f aca="false">'수출입 총괄'!B13</f>
        <v>24</v>
      </c>
      <c r="C12" s="20" t="n">
        <f aca="false">'수출입 총괄'!C13</f>
        <v>1111934</v>
      </c>
      <c r="D12" s="18" t="n">
        <f aca="false">'수출입 총괄'!D13</f>
        <v>17660680.7</v>
      </c>
      <c r="E12" s="20" t="n">
        <f aca="false">'수출입 총괄'!E13</f>
        <v>98959099</v>
      </c>
      <c r="F12" s="20" t="n">
        <f aca="false">'수출입 총괄'!H13</f>
        <v>68567473</v>
      </c>
      <c r="G12" s="20" t="n">
        <f aca="false">'수출입 총괄'!I13</f>
        <v>30391625</v>
      </c>
      <c r="H12" s="30" t="n">
        <f aca="false">E12/E11-1</f>
        <v>-0.0293955757984175</v>
      </c>
      <c r="I12" s="30" t="n">
        <f aca="false">F12/F11-1</f>
        <v>0.0380897288370941</v>
      </c>
      <c r="J12" s="20" t="n">
        <f aca="false">G12-G11</f>
        <v>-5512948</v>
      </c>
      <c r="K12" s="20" t="n">
        <f aca="false">E12/B12</f>
        <v>4123295.79166667</v>
      </c>
      <c r="L12" s="30" t="n">
        <f aca="false">K12/K11-1</f>
        <v>-0.0900583523110163</v>
      </c>
      <c r="M12" s="31" t="n">
        <f aca="false">E12/D12</f>
        <v>5.6033570099028</v>
      </c>
      <c r="N12" s="31" t="n">
        <f aca="false">F12/'수출입 총괄'!G13</f>
        <v>1.34067020127308</v>
      </c>
      <c r="O12" s="32" t="n">
        <f aca="false">M12/N12</f>
        <v>4.17951932144231</v>
      </c>
      <c r="P12" s="20" t="n">
        <f aca="false">SUM($E$6:E12)</f>
        <v>595062836</v>
      </c>
      <c r="Q12" s="20" t="n">
        <f aca="false">SUM($G$6:G12)</f>
        <v>167759690</v>
      </c>
    </row>
    <row r="13" customFormat="false" ht="15" hidden="false" customHeight="false" outlineLevel="0" collapsed="false">
      <c r="A13" s="29" t="s">
        <v>132</v>
      </c>
      <c r="B13" s="24" t="n">
        <f aca="false">SUM(B6:B12)</f>
        <v>156.5</v>
      </c>
      <c r="C13" s="23" t="n">
        <f aca="false">SUM(C6:C12)</f>
        <v>7920384</v>
      </c>
      <c r="D13" s="24" t="n">
        <f aca="false">SUM(D6:D12)</f>
        <v>109873539.7</v>
      </c>
      <c r="E13" s="23" t="n">
        <f aca="false">SUM(E6:E12)</f>
        <v>595062836</v>
      </c>
      <c r="F13" s="23" t="n">
        <f aca="false">SUM(F6:F12)</f>
        <v>427303145</v>
      </c>
      <c r="G13" s="23" t="n">
        <f aca="false">SUM(G6:G12)</f>
        <v>167759690</v>
      </c>
      <c r="H13" s="33" t="n">
        <f aca="false">E12/E6-1</f>
        <v>0.5029341122175</v>
      </c>
      <c r="I13" s="33" t="n">
        <f aca="false">F12/F6-1</f>
        <v>0.199917929378771</v>
      </c>
      <c r="J13" s="23" t="n">
        <f aca="false">G12-G6</f>
        <v>21691157</v>
      </c>
      <c r="K13" s="23" t="n">
        <f aca="false">E13/B13</f>
        <v>3802318.44089457</v>
      </c>
      <c r="L13" s="33" t="n">
        <f aca="false">K12/K6-1</f>
        <v>0.471622984879635</v>
      </c>
      <c r="M13" s="34" t="n">
        <f aca="false">E13/D13</f>
        <v>5.41588846254309</v>
      </c>
      <c r="N13" s="34" t="n">
        <f aca="false">F13/SUM('수출입 총괄'!G7:G13)</f>
        <v>1.36151858172179</v>
      </c>
      <c r="O13" s="35" t="n">
        <f aca="false">M13/N13</f>
        <v>3.97782926744496</v>
      </c>
      <c r="P13" s="23" t="n">
        <f aca="false">E13</f>
        <v>595062836</v>
      </c>
      <c r="Q13" s="23" t="n">
        <f aca="false">G13</f>
        <v>167759690</v>
      </c>
    </row>
    <row r="14" customFormat="false" ht="15" hidden="false" customHeight="true" outlineLevel="0" collapsed="false">
      <c r="A14" s="12" t="s">
        <v>133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</sheetData>
  <mergeCells count="4">
    <mergeCell ref="A1:Q1"/>
    <mergeCell ref="A2:Q2"/>
    <mergeCell ref="A3:Q3"/>
    <mergeCell ref="A14:Q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9" min="3" style="1" width="14"/>
    <col collapsed="false" customWidth="true" hidden="false" outlineLevel="0" max="10" min="10" style="1" width="12"/>
    <col collapsed="false" customWidth="true" hidden="false" outlineLevel="0" max="11" min="11" style="1" width="15"/>
    <col collapsed="false" customWidth="true" hidden="false" outlineLevel="0" max="12" min="12" style="1" width="12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5" min="15" style="1" width="10"/>
    <col collapsed="false" customWidth="true" hidden="false" outlineLevel="0" max="17" min="16" style="1" width="11"/>
  </cols>
  <sheetData>
    <row r="1" customFormat="false" ht="21.75" hidden="false" customHeight="true" outlineLevel="0" collapsed="false">
      <c r="A1" s="11" t="s">
        <v>134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customFormat="false" ht="15" hidden="false" customHeight="true" outlineLevel="0" collapsed="false">
      <c r="A2" s="12" t="s">
        <v>135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customFormat="false" ht="15" hidden="false" customHeight="true" outlineLevel="0" collapsed="false">
      <c r="A3" s="25" t="s">
        <v>136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5" customFormat="false" ht="14.9" hidden="false" customHeight="false" outlineLevel="0" collapsed="false">
      <c r="A5" s="16" t="s">
        <v>137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customFormat="false" ht="30" hidden="false" customHeight="true" outlineLevel="0" collapsed="false">
      <c r="A6" s="17" t="s">
        <v>108</v>
      </c>
      <c r="B6" s="17" t="s">
        <v>138</v>
      </c>
      <c r="C6" s="26" t="s">
        <v>13</v>
      </c>
      <c r="D6" s="26" t="s">
        <v>14</v>
      </c>
      <c r="E6" s="26" t="s">
        <v>15</v>
      </c>
      <c r="F6" s="26" t="s">
        <v>16</v>
      </c>
      <c r="G6" s="26" t="s">
        <v>17</v>
      </c>
      <c r="H6" s="26" t="s">
        <v>18</v>
      </c>
      <c r="I6" s="26" t="s">
        <v>19</v>
      </c>
      <c r="J6" s="26" t="s">
        <v>139</v>
      </c>
      <c r="K6" s="26" t="s">
        <v>140</v>
      </c>
      <c r="L6" s="26" t="s">
        <v>141</v>
      </c>
      <c r="M6" s="26" t="s">
        <v>142</v>
      </c>
      <c r="N6" s="26" t="s">
        <v>143</v>
      </c>
      <c r="O6" s="17" t="s">
        <v>144</v>
      </c>
      <c r="P6" s="17" t="s">
        <v>145</v>
      </c>
      <c r="Q6" s="17" t="s">
        <v>146</v>
      </c>
      <c r="R6" s="17" t="s">
        <v>147</v>
      </c>
    </row>
    <row r="7" customFormat="false" ht="15" hidden="false" customHeight="false" outlineLevel="0" collapsed="false">
      <c r="A7" s="36" t="s">
        <v>148</v>
      </c>
      <c r="B7" s="37" t="s">
        <v>149</v>
      </c>
      <c r="C7" s="38" t="n">
        <f aca="false">'수출입 실적(성질별)'!D7</f>
        <v>1018552</v>
      </c>
      <c r="D7" s="38" t="n">
        <f aca="false">'수출입 실적(성질별)'!D28</f>
        <v>926368</v>
      </c>
      <c r="E7" s="38" t="n">
        <f aca="false">'수출입 실적(성질별)'!D49</f>
        <v>1169585</v>
      </c>
      <c r="F7" s="38" t="n">
        <f aca="false">'수출입 실적(성질별)'!D70</f>
        <v>1206533</v>
      </c>
      <c r="G7" s="38" t="n">
        <f aca="false">'수출입 실적(성질별)'!D91</f>
        <v>1061105</v>
      </c>
      <c r="H7" s="38" t="n">
        <f aca="false">'수출입 실적(성질별)'!D112</f>
        <v>1152581</v>
      </c>
      <c r="I7" s="38" t="n">
        <f aca="false">'수출입 실적(성질별)'!D133</f>
        <v>1081841</v>
      </c>
      <c r="J7" s="33" t="n">
        <f aca="false">I7/H7-1</f>
        <v>-0.0613752959661837</v>
      </c>
      <c r="K7" s="20" t="n">
        <f aca="false">I7-H7</f>
        <v>-70740</v>
      </c>
      <c r="L7" s="33" t="n">
        <f aca="false">I7/C7-1</f>
        <v>0.0621362483211461</v>
      </c>
      <c r="M7" s="20" t="n">
        <f aca="false">I7-C7</f>
        <v>63289</v>
      </c>
      <c r="N7" s="20" t="n">
        <f aca="false">SUM(C7:I7)</f>
        <v>7616565</v>
      </c>
      <c r="O7" s="39" t="n">
        <f aca="false">N7/'수출입 실적(성질별)'!$D$6</f>
        <v>0.0127995978777603</v>
      </c>
      <c r="P7" s="39" t="n">
        <f aca="false">IFERROR(M7/('수출입 총괄'!E13-'수출입 총괄'!E7),"-")</f>
        <v>0.00191117893368603</v>
      </c>
      <c r="Q7" s="30" t="n">
        <f aca="false">MAX(D7/C7-1,E7/D7-1,F7/E7-1,G7/F7-1,H7/G7-1,I7/H7-1)</f>
        <v>0.262549008601333</v>
      </c>
      <c r="R7" s="30" t="n">
        <f aca="false">MIN(D7/C7-1,E7/D7-1,F7/E7-1,G7/F7-1,H7/G7-1,I7/H7-1)</f>
        <v>-0.120533793936842</v>
      </c>
    </row>
    <row r="8" customFormat="false" ht="15" hidden="false" customHeight="false" outlineLevel="0" collapsed="false">
      <c r="A8" s="36" t="s">
        <v>148</v>
      </c>
      <c r="B8" s="37" t="s">
        <v>150</v>
      </c>
      <c r="C8" s="38" t="n">
        <f aca="false">'수출입 실적(성질별)'!D8</f>
        <v>4654223</v>
      </c>
      <c r="D8" s="38" t="n">
        <f aca="false">'수출입 실적(성질별)'!D29</f>
        <v>4914885</v>
      </c>
      <c r="E8" s="38" t="n">
        <f aca="false">'수출입 실적(성질별)'!D50</f>
        <v>7280697</v>
      </c>
      <c r="F8" s="38" t="n">
        <f aca="false">'수출입 실적(성질별)'!D71</f>
        <v>6331952</v>
      </c>
      <c r="G8" s="38" t="n">
        <f aca="false">'수출입 실적(성질별)'!D92</f>
        <v>6401394</v>
      </c>
      <c r="H8" s="38" t="n">
        <f aca="false">'수출입 실적(성질별)'!D113</f>
        <v>6608418</v>
      </c>
      <c r="I8" s="38" t="n">
        <f aca="false">'수출입 실적(성질별)'!D134</f>
        <v>6896402</v>
      </c>
      <c r="J8" s="33" t="n">
        <f aca="false">I8/H8-1</f>
        <v>0.0435783571801904</v>
      </c>
      <c r="K8" s="20" t="n">
        <f aca="false">I8-H8</f>
        <v>287984</v>
      </c>
      <c r="L8" s="33" t="n">
        <f aca="false">I8/C8-1</f>
        <v>0.481751518996834</v>
      </c>
      <c r="M8" s="20" t="n">
        <f aca="false">I8-C8</f>
        <v>2242179</v>
      </c>
      <c r="N8" s="20" t="n">
        <f aca="false">SUM(C8:I8)</f>
        <v>43087971</v>
      </c>
      <c r="O8" s="39" t="n">
        <f aca="false">N8/'수출입 실적(성질별)'!$D$6</f>
        <v>0.0724091112159609</v>
      </c>
      <c r="P8" s="39" t="n">
        <f aca="false">IFERROR(M8/('수출입 총괄'!E13-'수출입 총괄'!E7),"-")</f>
        <v>0.0677085318199561</v>
      </c>
      <c r="Q8" s="30" t="n">
        <f aca="false">MAX(D8/C8-1,E8/D8-1,F8/E8-1,G8/F8-1,H8/G8-1,I8/H8-1)</f>
        <v>0.481356532248466</v>
      </c>
      <c r="R8" s="30" t="n">
        <f aca="false">MIN(D8/C8-1,E8/D8-1,F8/E8-1,G8/F8-1,H8/G8-1,I8/H8-1)</f>
        <v>-0.130309639310632</v>
      </c>
    </row>
    <row r="9" customFormat="false" ht="15" hidden="false" customHeight="false" outlineLevel="0" collapsed="false">
      <c r="A9" s="36" t="s">
        <v>148</v>
      </c>
      <c r="B9" s="37" t="s">
        <v>151</v>
      </c>
      <c r="C9" s="38" t="n">
        <f aca="false">'수출입 실적(성질별)'!D9</f>
        <v>3082056</v>
      </c>
      <c r="D9" s="38" t="n">
        <f aca="false">'수출입 실적(성질별)'!D30</f>
        <v>3096567</v>
      </c>
      <c r="E9" s="38" t="n">
        <f aca="false">'수출입 실적(성질별)'!D51</f>
        <v>4111292</v>
      </c>
      <c r="F9" s="38" t="n">
        <f aca="false">'수출입 실적(성질별)'!D72</f>
        <v>3895477</v>
      </c>
      <c r="G9" s="38" t="n">
        <f aca="false">'수출입 실적(성질별)'!D93</f>
        <v>3869333</v>
      </c>
      <c r="H9" s="38" t="n">
        <f aca="false">'수출입 실적(성질별)'!D114</f>
        <v>4060373</v>
      </c>
      <c r="I9" s="38" t="n">
        <f aca="false">'수출입 실적(성질별)'!D135</f>
        <v>3778039</v>
      </c>
      <c r="J9" s="33" t="n">
        <f aca="false">I9/H9-1</f>
        <v>-0.0695340058659636</v>
      </c>
      <c r="K9" s="20" t="n">
        <f aca="false">I9-H9</f>
        <v>-282334</v>
      </c>
      <c r="L9" s="33" t="n">
        <f aca="false">I9/C9-1</f>
        <v>0.225817765803087</v>
      </c>
      <c r="M9" s="20" t="n">
        <f aca="false">I9-C9</f>
        <v>695983</v>
      </c>
      <c r="N9" s="20" t="n">
        <f aca="false">SUM(C9:I9)</f>
        <v>25893137</v>
      </c>
      <c r="O9" s="39" t="n">
        <f aca="false">N9/'수출입 실적(성질별)'!$D$6</f>
        <v>0.0435132820889411</v>
      </c>
      <c r="P9" s="39" t="n">
        <f aca="false">IFERROR(M9/('수출입 총괄'!E13-'수출입 총괄'!E7),"-")</f>
        <v>0.0210170495315711</v>
      </c>
      <c r="Q9" s="30" t="n">
        <f aca="false">MAX(D9/C9-1,E9/D9-1,F9/E9-1,G9/F9-1,H9/G9-1,I9/H9-1)</f>
        <v>0.327693539329199</v>
      </c>
      <c r="R9" s="30" t="n">
        <f aca="false">MIN(D9/C9-1,E9/D9-1,F9/E9-1,G9/F9-1,H9/G9-1,I9/H9-1)</f>
        <v>-0.0695340058659636</v>
      </c>
    </row>
    <row r="10" customFormat="false" ht="15" hidden="false" customHeight="false" outlineLevel="0" collapsed="false">
      <c r="A10" s="19" t="s">
        <v>152</v>
      </c>
      <c r="B10" s="40" t="s">
        <v>153</v>
      </c>
      <c r="C10" s="20" t="n">
        <f aca="false">'수출입 실적(성질별)'!D10</f>
        <v>81834</v>
      </c>
      <c r="D10" s="20" t="n">
        <f aca="false">'수출입 실적(성질별)'!D31</f>
        <v>73506</v>
      </c>
      <c r="E10" s="20" t="n">
        <f aca="false">'수출입 실적(성질별)'!D52</f>
        <v>91453</v>
      </c>
      <c r="F10" s="20" t="n">
        <f aca="false">'수출입 실적(성질별)'!D73</f>
        <v>90653</v>
      </c>
      <c r="G10" s="20" t="n">
        <f aca="false">'수출입 실적(성질별)'!D94</f>
        <v>76424</v>
      </c>
      <c r="H10" s="20" t="n">
        <f aca="false">'수출입 실적(성질별)'!D115</f>
        <v>79180</v>
      </c>
      <c r="I10" s="20" t="n">
        <f aca="false">'수출입 실적(성질별)'!D136</f>
        <v>77156</v>
      </c>
      <c r="J10" s="30" t="n">
        <f aca="false">I10/H10-1</f>
        <v>-0.0255620106087395</v>
      </c>
      <c r="K10" s="20" t="n">
        <f aca="false">I10-H10</f>
        <v>-2024</v>
      </c>
      <c r="L10" s="30" t="n">
        <f aca="false">I10/C10-1</f>
        <v>-0.057164503751497</v>
      </c>
      <c r="M10" s="20" t="n">
        <f aca="false">I10-C10</f>
        <v>-4678</v>
      </c>
      <c r="N10" s="20" t="n">
        <f aca="false">SUM(C10:I10)</f>
        <v>570206</v>
      </c>
      <c r="O10" s="39" t="n">
        <f aca="false">N10/'수출입 실적(성질별)'!$D$6</f>
        <v>0.000958228218033479</v>
      </c>
      <c r="P10" s="39" t="n">
        <f aca="false">IFERROR(M10/('수출입 총괄'!E13-'수출입 총괄'!E7),"-")</f>
        <v>-0.000141264596561539</v>
      </c>
      <c r="Q10" s="30" t="n">
        <f aca="false">MAX(D10/C10-1,E10/D10-1,F10/E10-1,G10/F10-1,H10/G10-1,I10/H10-1)</f>
        <v>0.244156939569559</v>
      </c>
      <c r="R10" s="30" t="n">
        <f aca="false">MIN(D10/C10-1,E10/D10-1,F10/E10-1,G10/F10-1,H10/G10-1,I10/H10-1)</f>
        <v>-0.156961159586555</v>
      </c>
    </row>
    <row r="11" customFormat="false" ht="15" hidden="false" customHeight="false" outlineLevel="0" collapsed="false">
      <c r="A11" s="19" t="s">
        <v>152</v>
      </c>
      <c r="B11" s="40" t="s">
        <v>154</v>
      </c>
      <c r="C11" s="20" t="n">
        <f aca="false">'수출입 실적(성질별)'!D11</f>
        <v>59575</v>
      </c>
      <c r="D11" s="20" t="n">
        <f aca="false">'수출입 실적(성질별)'!D32</f>
        <v>55539</v>
      </c>
      <c r="E11" s="20" t="n">
        <f aca="false">'수출입 실적(성질별)'!D53</f>
        <v>66796</v>
      </c>
      <c r="F11" s="20" t="n">
        <f aca="false">'수출입 실적(성질별)'!D74</f>
        <v>74276</v>
      </c>
      <c r="G11" s="20" t="n">
        <f aca="false">'수출입 실적(성질별)'!D95</f>
        <v>63203</v>
      </c>
      <c r="H11" s="20" t="n">
        <f aca="false">'수출입 실적(성질별)'!D116</f>
        <v>65475</v>
      </c>
      <c r="I11" s="20" t="n">
        <f aca="false">'수출입 실적(성질별)'!D137</f>
        <v>66017</v>
      </c>
      <c r="J11" s="30" t="n">
        <f aca="false">I11/H11-1</f>
        <v>0.00827796869033981</v>
      </c>
      <c r="K11" s="20" t="n">
        <f aca="false">I11-H11</f>
        <v>542</v>
      </c>
      <c r="L11" s="30" t="n">
        <f aca="false">I11/C11-1</f>
        <v>0.108132605958875</v>
      </c>
      <c r="M11" s="20" t="n">
        <f aca="false">I11-C11</f>
        <v>6442</v>
      </c>
      <c r="N11" s="20" t="n">
        <f aca="false">SUM(C11:I11)</f>
        <v>450881</v>
      </c>
      <c r="O11" s="39" t="n">
        <f aca="false">N11/'수출입 실적(성질별)'!$D$6</f>
        <v>0.000757703176001573</v>
      </c>
      <c r="P11" s="39" t="n">
        <f aca="false">IFERROR(M11/('수출입 총괄'!E13-'수출입 총괄'!E7),"-")</f>
        <v>0.000194533247338485</v>
      </c>
      <c r="Q11" s="30" t="n">
        <f aca="false">MAX(D11/C11-1,E11/D11-1,F11/E11-1,G11/F11-1,H11/G11-1,I11/H11-1)</f>
        <v>0.202686400547363</v>
      </c>
      <c r="R11" s="30" t="n">
        <f aca="false">MIN(D11/C11-1,E11/D11-1,F11/E11-1,G11/F11-1,H11/G11-1,I11/H11-1)</f>
        <v>-0.149079110345199</v>
      </c>
    </row>
    <row r="12" customFormat="false" ht="15" hidden="false" customHeight="false" outlineLevel="0" collapsed="false">
      <c r="A12" s="19" t="s">
        <v>152</v>
      </c>
      <c r="B12" s="40" t="s">
        <v>155</v>
      </c>
      <c r="C12" s="20" t="n">
        <f aca="false">'수출입 실적(성질별)'!D12</f>
        <v>275298</v>
      </c>
      <c r="D12" s="20" t="n">
        <f aca="false">'수출입 실적(성질별)'!D33</f>
        <v>221534</v>
      </c>
      <c r="E12" s="20" t="n">
        <f aca="false">'수출입 실적(성질별)'!D54</f>
        <v>271710</v>
      </c>
      <c r="F12" s="20" t="n">
        <f aca="false">'수출입 실적(성질별)'!D75</f>
        <v>311911</v>
      </c>
      <c r="G12" s="20" t="n">
        <f aca="false">'수출입 실적(성질별)'!D96</f>
        <v>254533</v>
      </c>
      <c r="H12" s="20" t="n">
        <f aca="false">'수출입 실적(성질별)'!D117</f>
        <v>282353</v>
      </c>
      <c r="I12" s="20" t="n">
        <f aca="false">'수출입 실적(성질별)'!D138</f>
        <v>298501</v>
      </c>
      <c r="J12" s="30" t="n">
        <f aca="false">I12/H12-1</f>
        <v>0.0571908214185788</v>
      </c>
      <c r="K12" s="20" t="n">
        <f aca="false">I12-H12</f>
        <v>16148</v>
      </c>
      <c r="L12" s="30" t="n">
        <f aca="false">I12/C12-1</f>
        <v>0.0842832130999862</v>
      </c>
      <c r="M12" s="20" t="n">
        <f aca="false">I12-C12</f>
        <v>23203</v>
      </c>
      <c r="N12" s="20" t="n">
        <f aca="false">SUM(C12:I12)</f>
        <v>1915840</v>
      </c>
      <c r="O12" s="39" t="n">
        <f aca="false">N12/'수출입 실적(성질별)'!$D$6</f>
        <v>0.00321955915798371</v>
      </c>
      <c r="P12" s="39" t="n">
        <f aca="false">IFERROR(M12/('수출입 총괄'!E13-'수출입 총괄'!E7),"-")</f>
        <v>0.000700676022662972</v>
      </c>
      <c r="Q12" s="30" t="n">
        <f aca="false">MAX(D12/C12-1,E12/D12-1,F12/E12-1,G12/F12-1,H12/G12-1,I12/H12-1)</f>
        <v>0.226493450215317</v>
      </c>
      <c r="R12" s="30" t="n">
        <f aca="false">MIN(D12/C12-1,E12/D12-1,F12/E12-1,G12/F12-1,H12/G12-1,I12/H12-1)</f>
        <v>-0.195293827052866</v>
      </c>
    </row>
    <row r="13" customFormat="false" ht="15" hidden="false" customHeight="false" outlineLevel="0" collapsed="false">
      <c r="A13" s="19" t="s">
        <v>152</v>
      </c>
      <c r="B13" s="40" t="s">
        <v>156</v>
      </c>
      <c r="C13" s="20" t="n">
        <f aca="false">'수출입 실적(성질별)'!D13</f>
        <v>159996</v>
      </c>
      <c r="D13" s="20" t="n">
        <f aca="false">'수출입 실적(성질별)'!D34</f>
        <v>142303</v>
      </c>
      <c r="E13" s="20" t="n">
        <f aca="false">'수출입 실적(성질별)'!D55</f>
        <v>178529</v>
      </c>
      <c r="F13" s="20" t="n">
        <f aca="false">'수출입 실적(성질별)'!D76</f>
        <v>195708</v>
      </c>
      <c r="G13" s="20" t="n">
        <f aca="false">'수출입 실적(성질별)'!D97</f>
        <v>156237</v>
      </c>
      <c r="H13" s="20" t="n">
        <f aca="false">'수출입 실적(성질별)'!D118</f>
        <v>182081</v>
      </c>
      <c r="I13" s="20" t="n">
        <f aca="false">'수출입 실적(성질별)'!D139</f>
        <v>184656</v>
      </c>
      <c r="J13" s="30" t="n">
        <f aca="false">I13/H13-1</f>
        <v>0.0141420576556588</v>
      </c>
      <c r="K13" s="20" t="n">
        <f aca="false">I13-H13</f>
        <v>2575</v>
      </c>
      <c r="L13" s="30" t="n">
        <f aca="false">I13/C13-1</f>
        <v>0.154128853221331</v>
      </c>
      <c r="M13" s="20" t="n">
        <f aca="false">I13-C13</f>
        <v>24660</v>
      </c>
      <c r="N13" s="20" t="n">
        <f aca="false">SUM(C13:I13)</f>
        <v>1199510</v>
      </c>
      <c r="O13" s="39" t="n">
        <f aca="false">N13/'수출입 실적(성질별)'!$D$6</f>
        <v>0.00201577031776821</v>
      </c>
      <c r="P13" s="39" t="n">
        <f aca="false">IFERROR(M13/('수출입 총괄'!E13-'수출입 총괄'!E7),"-")</f>
        <v>0.000744673995555269</v>
      </c>
      <c r="Q13" s="30" t="n">
        <f aca="false">MAX(D13/C13-1,E13/D13-1,F13/E13-1,G13/F13-1,H13/G13-1,I13/H13-1)</f>
        <v>0.2545694749935</v>
      </c>
      <c r="R13" s="30" t="n">
        <f aca="false">MIN(D13/C13-1,E13/D13-1,F13/E13-1,G13/F13-1,H13/G13-1,I13/H13-1)</f>
        <v>-0.201683119749831</v>
      </c>
    </row>
    <row r="14" customFormat="false" ht="15" hidden="false" customHeight="false" outlineLevel="0" collapsed="false">
      <c r="A14" s="19" t="s">
        <v>152</v>
      </c>
      <c r="B14" s="40" t="s">
        <v>157</v>
      </c>
      <c r="C14" s="20" t="n">
        <f aca="false">'수출입 실적(성질별)'!D14</f>
        <v>145729</v>
      </c>
      <c r="D14" s="20" t="n">
        <f aca="false">'수출입 실적(성질별)'!D35</f>
        <v>128724</v>
      </c>
      <c r="E14" s="20" t="n">
        <f aca="false">'수출입 실적(성질별)'!D56</f>
        <v>178394</v>
      </c>
      <c r="F14" s="20" t="n">
        <f aca="false">'수출입 실적(성질별)'!D77</f>
        <v>217836</v>
      </c>
      <c r="G14" s="20" t="n">
        <f aca="false">'수출입 실적(성질별)'!D98</f>
        <v>162835</v>
      </c>
      <c r="H14" s="20" t="n">
        <f aca="false">'수출입 실적(성질별)'!D119</f>
        <v>191947</v>
      </c>
      <c r="I14" s="20" t="n">
        <f aca="false">'수출입 실적(성질별)'!D140</f>
        <v>162057</v>
      </c>
      <c r="J14" s="30" t="n">
        <f aca="false">I14/H14-1</f>
        <v>-0.155720068560592</v>
      </c>
      <c r="K14" s="20" t="n">
        <f aca="false">I14-H14</f>
        <v>-29890</v>
      </c>
      <c r="L14" s="30" t="n">
        <f aca="false">I14/C14-1</f>
        <v>0.112043587755354</v>
      </c>
      <c r="M14" s="20" t="n">
        <f aca="false">I14-C14</f>
        <v>16328</v>
      </c>
      <c r="N14" s="20" t="n">
        <f aca="false">SUM(C14:I14)</f>
        <v>1187522</v>
      </c>
      <c r="O14" s="39" t="n">
        <f aca="false">N14/'수출입 실적(성질별)'!$D$6</f>
        <v>0.00199562454610361</v>
      </c>
      <c r="P14" s="39" t="n">
        <f aca="false">IFERROR(M14/('수출입 총괄'!E13-'수출입 총괄'!E7),"-")</f>
        <v>0.000493067193812913</v>
      </c>
      <c r="Q14" s="30" t="n">
        <f aca="false">MAX(D14/C14-1,E14/D14-1,F14/E14-1,G14/F14-1,H14/G14-1,I14/H14-1)</f>
        <v>0.385864329884093</v>
      </c>
      <c r="R14" s="30" t="n">
        <f aca="false">MIN(D14/C14-1,E14/D14-1,F14/E14-1,G14/F14-1,H14/G14-1,I14/H14-1)</f>
        <v>-0.252488110321526</v>
      </c>
    </row>
    <row r="15" customFormat="false" ht="15" hidden="false" customHeight="false" outlineLevel="0" collapsed="false">
      <c r="A15" s="19" t="s">
        <v>152</v>
      </c>
      <c r="B15" s="40" t="s">
        <v>158</v>
      </c>
      <c r="C15" s="20" t="n">
        <f aca="false">'수출입 실적(성질별)'!D15</f>
        <v>94526</v>
      </c>
      <c r="D15" s="20" t="n">
        <f aca="false">'수출입 실적(성질별)'!D36</f>
        <v>80045</v>
      </c>
      <c r="E15" s="20" t="n">
        <f aca="false">'수출입 실적(성질별)'!D57</f>
        <v>99911</v>
      </c>
      <c r="F15" s="20" t="n">
        <f aca="false">'수출입 실적(성질별)'!D78</f>
        <v>109054</v>
      </c>
      <c r="G15" s="20" t="n">
        <f aca="false">'수출입 실적(성질별)'!D99</f>
        <v>87103</v>
      </c>
      <c r="H15" s="20" t="n">
        <f aca="false">'수출입 실적(성질별)'!D120</f>
        <v>95170</v>
      </c>
      <c r="I15" s="20" t="n">
        <f aca="false">'수출입 실적(성질별)'!D141</f>
        <v>111673</v>
      </c>
      <c r="J15" s="30" t="n">
        <f aca="false">I15/H15-1</f>
        <v>0.173405484921719</v>
      </c>
      <c r="K15" s="20" t="n">
        <f aca="false">I15-H15</f>
        <v>16503</v>
      </c>
      <c r="L15" s="30" t="n">
        <f aca="false">I15/C15-1</f>
        <v>0.181399826502761</v>
      </c>
      <c r="M15" s="20" t="n">
        <f aca="false">I15-C15</f>
        <v>17147</v>
      </c>
      <c r="N15" s="20" t="n">
        <f aca="false">SUM(C15:I15)</f>
        <v>677482</v>
      </c>
      <c r="O15" s="39" t="n">
        <f aca="false">N15/'수출입 실적(성질별)'!$D$6</f>
        <v>0.00113850497821797</v>
      </c>
      <c r="P15" s="39" t="n">
        <f aca="false">IFERROR(M15/('수출입 총괄'!E13-'수출입 총괄'!E7),"-")</f>
        <v>0.000517799067387923</v>
      </c>
      <c r="Q15" s="30" t="n">
        <f aca="false">MAX(D15/C15-1,E15/D15-1,F15/E15-1,G15/F15-1,H15/G15-1,I15/H15-1)</f>
        <v>0.24818539571491</v>
      </c>
      <c r="R15" s="30" t="n">
        <f aca="false">MIN(D15/C15-1,E15/D15-1,F15/E15-1,G15/F15-1,H15/G15-1,I15/H15-1)</f>
        <v>-0.201285601628551</v>
      </c>
    </row>
    <row r="16" customFormat="false" ht="15" hidden="false" customHeight="false" outlineLevel="0" collapsed="false">
      <c r="A16" s="19" t="s">
        <v>152</v>
      </c>
      <c r="B16" s="40" t="s">
        <v>159</v>
      </c>
      <c r="C16" s="20" t="n">
        <f aca="false">'수출입 실적(성질별)'!D16</f>
        <v>401578</v>
      </c>
      <c r="D16" s="20" t="n">
        <f aca="false">'수출입 실적(성질별)'!D37</f>
        <v>344400</v>
      </c>
      <c r="E16" s="20" t="n">
        <f aca="false">'수출입 실적(성질별)'!D58</f>
        <v>411282</v>
      </c>
      <c r="F16" s="20" t="n">
        <f aca="false">'수출입 실적(성질별)'!D79</f>
        <v>441930</v>
      </c>
      <c r="G16" s="20" t="n">
        <f aca="false">'수출입 실적(성질별)'!D100</f>
        <v>448961</v>
      </c>
      <c r="H16" s="20" t="n">
        <f aca="false">'수출입 실적(성질별)'!D121</f>
        <v>485126</v>
      </c>
      <c r="I16" s="20" t="n">
        <f aca="false">'수출입 실적(성질별)'!D142</f>
        <v>485169</v>
      </c>
      <c r="J16" s="30" t="n">
        <f aca="false">I16/H16-1</f>
        <v>8.86367665307031E-005</v>
      </c>
      <c r="K16" s="20" t="n">
        <f aca="false">I16-H16</f>
        <v>43</v>
      </c>
      <c r="L16" s="30" t="n">
        <f aca="false">I16/C16-1</f>
        <v>0.208156323304564</v>
      </c>
      <c r="M16" s="20" t="n">
        <f aca="false">I16-C16</f>
        <v>83591</v>
      </c>
      <c r="N16" s="20" t="n">
        <f aca="false">SUM(C16:I16)</f>
        <v>3018446</v>
      </c>
      <c r="O16" s="39" t="n">
        <f aca="false">N16/'수출입 실적(성질별)'!$D$6</f>
        <v>0.00507248280763493</v>
      </c>
      <c r="P16" s="39" t="n">
        <f aca="false">IFERROR(M16/('수출입 총괄'!E13-'수출입 총괄'!E7),"-")</f>
        <v>0.00252425157998623</v>
      </c>
      <c r="Q16" s="30" t="n">
        <f aca="false">MAX(D16/C16-1,E16/D16-1,F16/E16-1,G16/F16-1,H16/G16-1,I16/H16-1)</f>
        <v>0.194198606271777</v>
      </c>
      <c r="R16" s="30" t="n">
        <f aca="false">MIN(D16/C16-1,E16/D16-1,F16/E16-1,G16/F16-1,H16/G16-1,I16/H16-1)</f>
        <v>-0.142383297889825</v>
      </c>
    </row>
    <row r="17" customFormat="false" ht="15" hidden="false" customHeight="false" outlineLevel="0" collapsed="false">
      <c r="A17" s="19" t="s">
        <v>152</v>
      </c>
      <c r="B17" s="40" t="s">
        <v>160</v>
      </c>
      <c r="C17" s="20" t="n">
        <f aca="false">'수출입 실적(성질별)'!D17</f>
        <v>701882</v>
      </c>
      <c r="D17" s="20" t="n">
        <f aca="false">'수출입 실적(성질별)'!D38</f>
        <v>995740</v>
      </c>
      <c r="E17" s="20" t="n">
        <f aca="false">'수출입 실적(성질별)'!D59</f>
        <v>1538992</v>
      </c>
      <c r="F17" s="20" t="n">
        <f aca="false">'수출입 실적(성질별)'!D80</f>
        <v>1162460</v>
      </c>
      <c r="G17" s="20" t="n">
        <f aca="false">'수출입 실적(성질별)'!D101</f>
        <v>1476718</v>
      </c>
      <c r="H17" s="20" t="n">
        <f aca="false">'수출입 실적(성질별)'!D122</f>
        <v>1382987</v>
      </c>
      <c r="I17" s="20" t="n">
        <f aca="false">'수출입 실적(성질별)'!D143</f>
        <v>1011215</v>
      </c>
      <c r="J17" s="30" t="n">
        <f aca="false">I17/H17-1</f>
        <v>-0.268818145072947</v>
      </c>
      <c r="K17" s="20" t="n">
        <f aca="false">I17-H17</f>
        <v>-371772</v>
      </c>
      <c r="L17" s="30" t="n">
        <f aca="false">I17/C17-1</f>
        <v>0.440719380180714</v>
      </c>
      <c r="M17" s="20" t="n">
        <f aca="false">I17-C17</f>
        <v>309333</v>
      </c>
      <c r="N17" s="20" t="n">
        <f aca="false">SUM(C17:I17)</f>
        <v>8269994</v>
      </c>
      <c r="O17" s="39" t="n">
        <f aca="false">N17/'수출입 실적(성질별)'!$D$6</f>
        <v>0.0138976819145494</v>
      </c>
      <c r="P17" s="39" t="n">
        <f aca="false">IFERROR(M17/('수출입 총괄'!E13-'수출입 총괄'!E7),"-")</f>
        <v>0.00934112899704371</v>
      </c>
      <c r="Q17" s="30" t="n">
        <f aca="false">MAX(D17/C17-1,E17/D17-1,F17/E17-1,G17/F17-1,H17/G17-1,I17/H17-1)</f>
        <v>0.54557615441782</v>
      </c>
      <c r="R17" s="30" t="n">
        <f aca="false">MIN(D17/C17-1,E17/D17-1,F17/E17-1,G17/F17-1,H17/G17-1,I17/H17-1)</f>
        <v>-0.268818145072947</v>
      </c>
    </row>
    <row r="18" customFormat="false" ht="15" hidden="false" customHeight="false" outlineLevel="0" collapsed="false">
      <c r="A18" s="19" t="s">
        <v>152</v>
      </c>
      <c r="B18" s="40" t="s">
        <v>161</v>
      </c>
      <c r="C18" s="20" t="n">
        <f aca="false">'수출입 실적(성질별)'!D18</f>
        <v>181453</v>
      </c>
      <c r="D18" s="20" t="n">
        <f aca="false">'수출입 실적(성질별)'!D39</f>
        <v>159026</v>
      </c>
      <c r="E18" s="20" t="n">
        <f aca="false">'수출입 실적(성질별)'!D60</f>
        <v>187937</v>
      </c>
      <c r="F18" s="20" t="n">
        <f aca="false">'수출입 실적(성질별)'!D81</f>
        <v>189118</v>
      </c>
      <c r="G18" s="20" t="n">
        <f aca="false">'수출입 실적(성질별)'!D102</f>
        <v>180349</v>
      </c>
      <c r="H18" s="20" t="n">
        <f aca="false">'수출입 실적(성질별)'!D123</f>
        <v>204808</v>
      </c>
      <c r="I18" s="20" t="n">
        <f aca="false">'수출입 실적(성질별)'!D144</f>
        <v>199569</v>
      </c>
      <c r="J18" s="30" t="n">
        <f aca="false">I18/H18-1</f>
        <v>-0.0255800554665834</v>
      </c>
      <c r="K18" s="20" t="n">
        <f aca="false">I18-H18</f>
        <v>-5239</v>
      </c>
      <c r="L18" s="30" t="n">
        <f aca="false">I18/C18-1</f>
        <v>0.0998385256788259</v>
      </c>
      <c r="M18" s="20" t="n">
        <f aca="false">I18-C18</f>
        <v>18116</v>
      </c>
      <c r="N18" s="20" t="n">
        <f aca="false">SUM(C18:I18)</f>
        <v>1302260</v>
      </c>
      <c r="O18" s="39" t="n">
        <f aca="false">N18/'수출입 실적(성질별)'!$D$6</f>
        <v>0.00218844115848707</v>
      </c>
      <c r="P18" s="39" t="n">
        <f aca="false">IFERROR(M18/('수출입 총괄'!E13-'수출입 총괄'!E7),"-")</f>
        <v>0.000547060588137845</v>
      </c>
      <c r="Q18" s="30" t="n">
        <f aca="false">MAX(D18/C18-1,E18/D18-1,F18/E18-1,G18/F18-1,H18/G18-1,I18/H18-1)</f>
        <v>0.181800460302089</v>
      </c>
      <c r="R18" s="30" t="n">
        <f aca="false">MIN(D18/C18-1,E18/D18-1,F18/E18-1,G18/F18-1,H18/G18-1,I18/H18-1)</f>
        <v>-0.123596744060445</v>
      </c>
    </row>
    <row r="19" customFormat="false" ht="15" hidden="false" customHeight="false" outlineLevel="0" collapsed="false">
      <c r="A19" s="19" t="s">
        <v>152</v>
      </c>
      <c r="B19" s="40" t="s">
        <v>162</v>
      </c>
      <c r="C19" s="20" t="n">
        <f aca="false">'수출입 실적(성질별)'!D19</f>
        <v>54068</v>
      </c>
      <c r="D19" s="20" t="n">
        <f aca="false">'수출입 실적(성질별)'!D40</f>
        <v>57507</v>
      </c>
      <c r="E19" s="20" t="n">
        <f aca="false">'수출입 실적(성질별)'!D61</f>
        <v>63099</v>
      </c>
      <c r="F19" s="20" t="n">
        <f aca="false">'수출입 실적(성질별)'!D82</f>
        <v>63109</v>
      </c>
      <c r="G19" s="20" t="n">
        <f aca="false">'수출입 실적(성질별)'!D103</f>
        <v>61502</v>
      </c>
      <c r="H19" s="20" t="n">
        <f aca="false">'수출입 실적(성질별)'!D124</f>
        <v>71410</v>
      </c>
      <c r="I19" s="20" t="n">
        <f aca="false">'수출입 실적(성질별)'!D145</f>
        <v>68493</v>
      </c>
      <c r="J19" s="30" t="n">
        <f aca="false">I19/H19-1</f>
        <v>-0.0408486206413667</v>
      </c>
      <c r="K19" s="20" t="n">
        <f aca="false">I19-H19</f>
        <v>-2917</v>
      </c>
      <c r="L19" s="30" t="n">
        <f aca="false">I19/C19-1</f>
        <v>0.266793667233854</v>
      </c>
      <c r="M19" s="20" t="n">
        <f aca="false">I19-C19</f>
        <v>14425</v>
      </c>
      <c r="N19" s="20" t="n">
        <f aca="false">SUM(C19:I19)</f>
        <v>439188</v>
      </c>
      <c r="O19" s="39" t="n">
        <f aca="false">N19/'수출입 실적(성질별)'!$D$6</f>
        <v>0.000738053150303026</v>
      </c>
      <c r="P19" s="39" t="n">
        <f aca="false">IFERROR(M19/('수출입 총괄'!E13-'수출입 총괄'!E7),"-")</f>
        <v>0.000435601069987216</v>
      </c>
      <c r="Q19" s="30" t="n">
        <f aca="false">MAX(D19/C19-1,E19/D19-1,F19/E19-1,G19/F19-1,H19/G19-1,I19/H19-1)</f>
        <v>0.161100452017821</v>
      </c>
      <c r="R19" s="30" t="n">
        <f aca="false">MIN(D19/C19-1,E19/D19-1,F19/E19-1,G19/F19-1,H19/G19-1,I19/H19-1)</f>
        <v>-0.0408486206413667</v>
      </c>
    </row>
    <row r="20" customFormat="false" ht="15" hidden="false" customHeight="false" outlineLevel="0" collapsed="false">
      <c r="A20" s="19" t="s">
        <v>152</v>
      </c>
      <c r="B20" s="40" t="s">
        <v>163</v>
      </c>
      <c r="C20" s="20" t="n">
        <f aca="false">'수출입 실적(성질별)'!D20</f>
        <v>926117</v>
      </c>
      <c r="D20" s="20" t="n">
        <f aca="false">'수출입 실적(성질별)'!D41</f>
        <v>838242</v>
      </c>
      <c r="E20" s="20" t="n">
        <f aca="false">'수출입 실적(성질별)'!D62</f>
        <v>1023190</v>
      </c>
      <c r="F20" s="20" t="n">
        <f aca="false">'수출입 실적(성질별)'!D83</f>
        <v>1039421</v>
      </c>
      <c r="G20" s="20" t="n">
        <f aca="false">'수출입 실적(성질별)'!D104</f>
        <v>901466</v>
      </c>
      <c r="H20" s="20" t="n">
        <f aca="false">'수출입 실적(성질별)'!D125</f>
        <v>1019834</v>
      </c>
      <c r="I20" s="20" t="n">
        <f aca="false">'수출입 실적(성질별)'!D146</f>
        <v>1113531</v>
      </c>
      <c r="J20" s="30" t="n">
        <f aca="false">I20/H20-1</f>
        <v>0.0918747560877555</v>
      </c>
      <c r="K20" s="20" t="n">
        <f aca="false">I20-H20</f>
        <v>93697</v>
      </c>
      <c r="L20" s="30" t="n">
        <f aca="false">I20/C20-1</f>
        <v>0.202365359884334</v>
      </c>
      <c r="M20" s="20" t="n">
        <f aca="false">I20-C20</f>
        <v>187414</v>
      </c>
      <c r="N20" s="20" t="n">
        <f aca="false">SUM(C20:I20)</f>
        <v>6861801</v>
      </c>
      <c r="O20" s="39" t="n">
        <f aca="false">N20/'수출입 실적(성질별)'!$D$6</f>
        <v>0.0115312209003945</v>
      </c>
      <c r="P20" s="39" t="n">
        <f aca="false">IFERROR(M20/('수출입 총괄'!E13-'수출입 총괄'!E7),"-")</f>
        <v>0.00565946197092438</v>
      </c>
      <c r="Q20" s="30" t="n">
        <f aca="false">MAX(D20/C20-1,E20/D20-1,F20/E20-1,G20/F20-1,H20/G20-1,I20/H20-1)</f>
        <v>0.220637954194612</v>
      </c>
      <c r="R20" s="30" t="n">
        <f aca="false">MIN(D20/C20-1,E20/D20-1,F20/E20-1,G20/F20-1,H20/G20-1,I20/H20-1)</f>
        <v>-0.132722929400118</v>
      </c>
    </row>
    <row r="21" customFormat="false" ht="15" hidden="false" customHeight="false" outlineLevel="0" collapsed="false">
      <c r="A21" s="36" t="s">
        <v>148</v>
      </c>
      <c r="B21" s="37" t="s">
        <v>164</v>
      </c>
      <c r="C21" s="38" t="n">
        <f aca="false">'수출입 실적(성질별)'!D21</f>
        <v>57089106</v>
      </c>
      <c r="D21" s="38" t="n">
        <f aca="false">'수출입 실적(성질별)'!D42</f>
        <v>58704727</v>
      </c>
      <c r="E21" s="38" t="n">
        <f aca="false">'수출입 실적(성질별)'!D63</f>
        <v>74771554</v>
      </c>
      <c r="F21" s="38" t="n">
        <f aca="false">'수출입 실적(성질별)'!D84</f>
        <v>74317921</v>
      </c>
      <c r="G21" s="38" t="n">
        <f aca="false">'수출입 실적(성질별)'!D105</f>
        <v>76244252</v>
      </c>
      <c r="H21" s="38" t="n">
        <f aca="false">'수출입 실적(성질별)'!D126</f>
        <v>90134786</v>
      </c>
      <c r="I21" s="38" t="n">
        <f aca="false">'수출입 실적(성질별)'!D147</f>
        <v>87202818</v>
      </c>
      <c r="J21" s="33" t="n">
        <f aca="false">I21/H21-1</f>
        <v>-0.0325287065084949</v>
      </c>
      <c r="K21" s="20" t="n">
        <f aca="false">I21-H21</f>
        <v>-2931968</v>
      </c>
      <c r="L21" s="33" t="n">
        <f aca="false">I21/C21-1</f>
        <v>0.527486137197524</v>
      </c>
      <c r="M21" s="20" t="n">
        <f aca="false">I21-C21</f>
        <v>30113712</v>
      </c>
      <c r="N21" s="20" t="n">
        <f aca="false">SUM(C21:I21)</f>
        <v>518465164</v>
      </c>
      <c r="O21" s="39" t="n">
        <f aca="false">N21/'수출입 실적(성질별)'!$D$6</f>
        <v>0.871278012178327</v>
      </c>
      <c r="P21" s="39" t="n">
        <f aca="false">IFERROR(M21/('수출입 총괄'!E13-'수출입 총괄'!E7),"-")</f>
        <v>0.909363269912435</v>
      </c>
      <c r="Q21" s="30" t="n">
        <f aca="false">MAX(D21/C21-1,E21/D21-1,F21/E21-1,G21/F21-1,H21/G21-1,I21/H21-1)</f>
        <v>0.273688812146252</v>
      </c>
      <c r="R21" s="30" t="n">
        <f aca="false">MIN(D21/C21-1,E21/D21-1,F21/E21-1,G21/F21-1,H21/G21-1,I21/H21-1)</f>
        <v>-0.0325287065084949</v>
      </c>
    </row>
    <row r="22" customFormat="false" ht="15" hidden="false" customHeight="false" outlineLevel="0" collapsed="false">
      <c r="A22" s="19" t="s">
        <v>152</v>
      </c>
      <c r="B22" s="40" t="s">
        <v>165</v>
      </c>
      <c r="C22" s="20" t="n">
        <f aca="false">'수출입 실적(성질별)'!D22</f>
        <v>6584897</v>
      </c>
      <c r="D22" s="20" t="n">
        <f aca="false">'수출입 실적(성질별)'!D43</f>
        <v>6279361</v>
      </c>
      <c r="E22" s="20" t="n">
        <f aca="false">'수출입 실적(성질별)'!D64</f>
        <v>7361871</v>
      </c>
      <c r="F22" s="20" t="n">
        <f aca="false">'수출입 실적(성질별)'!D85</f>
        <v>7717531</v>
      </c>
      <c r="G22" s="20" t="n">
        <f aca="false">'수출입 실적(성질별)'!D106</f>
        <v>6994558</v>
      </c>
      <c r="H22" s="20" t="n">
        <f aca="false">'수출입 실적(성질별)'!D127</f>
        <v>7870038</v>
      </c>
      <c r="I22" s="20" t="n">
        <f aca="false">'수출입 실적(성질별)'!D148</f>
        <v>7980842</v>
      </c>
      <c r="J22" s="30" t="n">
        <f aca="false">I22/H22-1</f>
        <v>0.0140792204561147</v>
      </c>
      <c r="K22" s="20" t="n">
        <f aca="false">I22-H22</f>
        <v>110804</v>
      </c>
      <c r="L22" s="30" t="n">
        <f aca="false">I22/C22-1</f>
        <v>0.211991926373336</v>
      </c>
      <c r="M22" s="20" t="n">
        <f aca="false">I22-C22</f>
        <v>1395945</v>
      </c>
      <c r="N22" s="20" t="n">
        <f aca="false">SUM(C22:I22)</f>
        <v>50789098</v>
      </c>
      <c r="O22" s="39" t="n">
        <f aca="false">N22/'수출입 실적(성질별)'!$D$6</f>
        <v>0.0853508150950143</v>
      </c>
      <c r="P22" s="39" t="n">
        <f aca="false">IFERROR(M22/('수출입 총괄'!E13-'수출입 총괄'!E7),"-")</f>
        <v>0.0421542555038686</v>
      </c>
      <c r="Q22" s="30" t="n">
        <f aca="false">MAX(D22/C22-1,E22/D22-1,F22/E22-1,G22/F22-1,H22/G22-1,I22/H22-1)</f>
        <v>0.172391744956214</v>
      </c>
      <c r="R22" s="30" t="n">
        <f aca="false">MIN(D22/C22-1,E22/D22-1,F22/E22-1,G22/F22-1,H22/G22-1,I22/H22-1)</f>
        <v>-0.0936793127232013</v>
      </c>
    </row>
    <row r="23" customFormat="false" ht="15" hidden="false" customHeight="false" outlineLevel="0" collapsed="false">
      <c r="A23" s="19" t="s">
        <v>152</v>
      </c>
      <c r="B23" s="40" t="s">
        <v>166</v>
      </c>
      <c r="C23" s="20" t="n">
        <f aca="false">'수출입 실적(성질별)'!D23</f>
        <v>4072186</v>
      </c>
      <c r="D23" s="20" t="n">
        <f aca="false">'수출입 실적(성질별)'!D44</f>
        <v>3678524</v>
      </c>
      <c r="E23" s="20" t="n">
        <f aca="false">'수출입 실적(성질별)'!D65</f>
        <v>4107993</v>
      </c>
      <c r="F23" s="20" t="n">
        <f aca="false">'수출입 실적(성질별)'!D86</f>
        <v>4322292</v>
      </c>
      <c r="G23" s="20" t="n">
        <f aca="false">'수출입 실적(성질별)'!D107</f>
        <v>4041314</v>
      </c>
      <c r="H23" s="20" t="n">
        <f aca="false">'수출입 실적(성질별)'!D128</f>
        <v>4351286</v>
      </c>
      <c r="I23" s="20" t="n">
        <f aca="false">'수출입 실적(성질별)'!D149</f>
        <v>4661963</v>
      </c>
      <c r="J23" s="30" t="n">
        <f aca="false">I23/H23-1</f>
        <v>0.0713988921895734</v>
      </c>
      <c r="K23" s="20" t="n">
        <f aca="false">I23-H23</f>
        <v>310677</v>
      </c>
      <c r="L23" s="30" t="n">
        <f aca="false">I23/C23-1</f>
        <v>0.144830565205027</v>
      </c>
      <c r="M23" s="20" t="n">
        <f aca="false">I23-C23</f>
        <v>589777</v>
      </c>
      <c r="N23" s="20" t="n">
        <f aca="false">SUM(C23:I23)</f>
        <v>29235558</v>
      </c>
      <c r="O23" s="39" t="n">
        <f aca="false">N23/'수출입 실적(성질별)'!$D$6</f>
        <v>0.0491302031994655</v>
      </c>
      <c r="P23" s="39" t="n">
        <f aca="false">IFERROR(M23/('수출입 총괄'!E13-'수출입 총괄'!E7),"-")</f>
        <v>0.0178098781458475</v>
      </c>
      <c r="Q23" s="30" t="n">
        <f aca="false">MAX(D23/C23-1,E23/D23-1,F23/E23-1,G23/F23-1,H23/G23-1,I23/H23-1)</f>
        <v>0.116750359655122</v>
      </c>
      <c r="R23" s="30" t="n">
        <f aca="false">MIN(D23/C23-1,E23/D23-1,F23/E23-1,G23/F23-1,H23/G23-1,I23/H23-1)</f>
        <v>-0.0966709280961134</v>
      </c>
    </row>
    <row r="24" customFormat="false" ht="15" hidden="false" customHeight="false" outlineLevel="0" collapsed="false">
      <c r="A24" s="19" t="s">
        <v>152</v>
      </c>
      <c r="B24" s="40" t="s">
        <v>167</v>
      </c>
      <c r="C24" s="20" t="n">
        <f aca="false">'수출입 실적(성질별)'!D24</f>
        <v>5421604</v>
      </c>
      <c r="D24" s="20" t="n">
        <f aca="false">'수출입 실적(성질별)'!D45</f>
        <v>4904769</v>
      </c>
      <c r="E24" s="20" t="n">
        <f aca="false">'수출입 실적(성질별)'!D66</f>
        <v>6033664</v>
      </c>
      <c r="F24" s="20" t="n">
        <f aca="false">'수출입 실적(성질별)'!D87</f>
        <v>6269944</v>
      </c>
      <c r="G24" s="20" t="n">
        <f aca="false">'수출입 실적(성질별)'!D108</f>
        <v>5585218</v>
      </c>
      <c r="H24" s="20" t="n">
        <f aca="false">'수출입 실적(성질별)'!D129</f>
        <v>6547312</v>
      </c>
      <c r="I24" s="20" t="n">
        <f aca="false">'수출입 실적(성질별)'!D150</f>
        <v>6861427</v>
      </c>
      <c r="J24" s="30" t="n">
        <f aca="false">I24/H24-1</f>
        <v>0.0479761770937448</v>
      </c>
      <c r="K24" s="20" t="n">
        <f aca="false">I24-H24</f>
        <v>314115</v>
      </c>
      <c r="L24" s="30" t="n">
        <f aca="false">I24/C24-1</f>
        <v>0.265571406543156</v>
      </c>
      <c r="M24" s="20" t="n">
        <f aca="false">I24-C24</f>
        <v>1439823</v>
      </c>
      <c r="N24" s="20" t="n">
        <f aca="false">SUM(C24:I24)</f>
        <v>41623938</v>
      </c>
      <c r="O24" s="39" t="n">
        <f aca="false">N24/'수출입 실적(성질별)'!$D$6</f>
        <v>0.0699488113721637</v>
      </c>
      <c r="P24" s="39" t="n">
        <f aca="false">IFERROR(M24/('수출입 총괄'!E13-'수출입 총괄'!E7),"-")</f>
        <v>0.0434792678954734</v>
      </c>
      <c r="Q24" s="30" t="n">
        <f aca="false">MAX(D24/C24-1,E24/D24-1,F24/E24-1,G24/F24-1,H24/G24-1,I24/H24-1)</f>
        <v>0.230162725298582</v>
      </c>
      <c r="R24" s="30" t="n">
        <f aca="false">MIN(D24/C24-1,E24/D24-1,F24/E24-1,G24/F24-1,H24/G24-1,I24/H24-1)</f>
        <v>-0.109207673944137</v>
      </c>
    </row>
    <row r="25" customFormat="false" ht="15" hidden="false" customHeight="false" outlineLevel="0" collapsed="false">
      <c r="A25" s="19" t="s">
        <v>152</v>
      </c>
      <c r="B25" s="40" t="s">
        <v>168</v>
      </c>
      <c r="C25" s="20" t="n">
        <f aca="false">'수출입 실적(성질별)'!D25</f>
        <v>28840619</v>
      </c>
      <c r="D25" s="20" t="n">
        <f aca="false">'수출입 실적(성질별)'!D46</f>
        <v>33394046</v>
      </c>
      <c r="E25" s="20" t="n">
        <f aca="false">'수출입 실적(성질별)'!D67</f>
        <v>43273534</v>
      </c>
      <c r="F25" s="20" t="n">
        <f aca="false">'수출입 실적(성질별)'!D88</f>
        <v>42506536</v>
      </c>
      <c r="G25" s="20" t="n">
        <f aca="false">'수출입 실적(성질별)'!D109</f>
        <v>47618590</v>
      </c>
      <c r="H25" s="20" t="n">
        <f aca="false">'수출입 실적(성질별)'!D130</f>
        <v>57127600</v>
      </c>
      <c r="I25" s="20" t="n">
        <f aca="false">'수출입 실적(성질별)'!D151</f>
        <v>53312084</v>
      </c>
      <c r="J25" s="30" t="n">
        <f aca="false">I25/H25-1</f>
        <v>-0.0667893627598569</v>
      </c>
      <c r="K25" s="20" t="n">
        <f aca="false">I25-H25</f>
        <v>-3815516</v>
      </c>
      <c r="L25" s="30" t="n">
        <f aca="false">I25/C25-1</f>
        <v>0.848506926983779</v>
      </c>
      <c r="M25" s="20" t="n">
        <f aca="false">I25-C25</f>
        <v>24471465</v>
      </c>
      <c r="N25" s="20" t="n">
        <f aca="false">SUM(C25:I25)</f>
        <v>306073009</v>
      </c>
      <c r="O25" s="39" t="n">
        <f aca="false">N25/'수출입 실적(성질별)'!$D$6</f>
        <v>0.514354100101042</v>
      </c>
      <c r="P25" s="39" t="n">
        <f aca="false">IFERROR(M25/('수출입 총괄'!E13-'수출입 총괄'!E7),"-")</f>
        <v>0.738980682021124</v>
      </c>
      <c r="Q25" s="30" t="n">
        <f aca="false">MAX(D25/C25-1,E25/D25-1,F25/E25-1,G25/F25-1,H25/G25-1,I25/H25-1)</f>
        <v>0.295845792390655</v>
      </c>
      <c r="R25" s="30" t="n">
        <f aca="false">MIN(D25/C25-1,E25/D25-1,F25/E25-1,G25/F25-1,H25/G25-1,I25/H25-1)</f>
        <v>-0.0667893627598569</v>
      </c>
    </row>
    <row r="26" customFormat="false" ht="15" hidden="false" customHeight="false" outlineLevel="0" collapsed="false">
      <c r="A26" s="19" t="s">
        <v>152</v>
      </c>
      <c r="B26" s="40" t="s">
        <v>169</v>
      </c>
      <c r="C26" s="20" t="n">
        <f aca="false">'수출입 실적(성질별)'!D26</f>
        <v>10361778</v>
      </c>
      <c r="D26" s="20" t="n">
        <f aca="false">'수출입 실적(성질별)'!D47</f>
        <v>8608748</v>
      </c>
      <c r="E26" s="20" t="n">
        <f aca="false">'수출입 실적(성질별)'!D68</f>
        <v>11782023</v>
      </c>
      <c r="F26" s="20" t="n">
        <f aca="false">'수출입 실적(성질별)'!D89</f>
        <v>11192081</v>
      </c>
      <c r="G26" s="20" t="n">
        <f aca="false">'수출입 실적(성질별)'!D110</f>
        <v>10090952</v>
      </c>
      <c r="H26" s="20" t="n">
        <f aca="false">'수출입 실적(성질별)'!D131</f>
        <v>11460161</v>
      </c>
      <c r="I26" s="20" t="n">
        <f aca="false">'수출입 실적(성질별)'!D152</f>
        <v>11661068</v>
      </c>
      <c r="J26" s="30" t="n">
        <f aca="false">I26/H26-1</f>
        <v>0.0175309055431245</v>
      </c>
      <c r="K26" s="20" t="n">
        <f aca="false">I26-H26</f>
        <v>200907</v>
      </c>
      <c r="L26" s="30" t="n">
        <f aca="false">I26/C26-1</f>
        <v>0.125392572587446</v>
      </c>
      <c r="M26" s="20" t="n">
        <f aca="false">I26-C26</f>
        <v>1299290</v>
      </c>
      <c r="N26" s="20" t="n">
        <f aca="false">SUM(C26:I26)</f>
        <v>75156811</v>
      </c>
      <c r="O26" s="39" t="n">
        <f aca="false">N26/'수출입 실적(성질별)'!$D$6</f>
        <v>0.12630063008388</v>
      </c>
      <c r="P26" s="39" t="n">
        <f aca="false">IFERROR(M26/('수출입 총괄'!E13-'수출입 총괄'!E7),"-")</f>
        <v>0.0392355018525955</v>
      </c>
      <c r="Q26" s="30" t="n">
        <f aca="false">MAX(D26/C26-1,E26/D26-1,F26/E26-1,G26/F26-1,H26/G26-1,I26/H26-1)</f>
        <v>0.368610511075478</v>
      </c>
      <c r="R26" s="30" t="n">
        <f aca="false">MIN(D26/C26-1,E26/D26-1,F26/E26-1,G26/F26-1,H26/G26-1,I26/H26-1)</f>
        <v>-0.169182354611342</v>
      </c>
    </row>
    <row r="27" customFormat="false" ht="15" hidden="false" customHeight="false" outlineLevel="0" collapsed="false">
      <c r="A27" s="19" t="s">
        <v>152</v>
      </c>
      <c r="B27" s="40" t="s">
        <v>170</v>
      </c>
      <c r="C27" s="20" t="n">
        <f aca="false">'수출입 실적(성질별)'!D27</f>
        <v>1808021</v>
      </c>
      <c r="D27" s="20" t="n">
        <f aca="false">'수출입 실적(성질별)'!D48</f>
        <v>1839279</v>
      </c>
      <c r="E27" s="20" t="n">
        <f aca="false">'수출입 실적(성질별)'!D69</f>
        <v>2212470</v>
      </c>
      <c r="F27" s="20" t="n">
        <f aca="false">'수출입 실적(성질별)'!D90</f>
        <v>2309537</v>
      </c>
      <c r="G27" s="20" t="n">
        <f aca="false">'수출입 실적(성질별)'!D111</f>
        <v>1913620</v>
      </c>
      <c r="H27" s="20" t="n">
        <f aca="false">'수출입 실적(성질별)'!D132</f>
        <v>2778389</v>
      </c>
      <c r="I27" s="20" t="n">
        <f aca="false">'수출입 실적(성질별)'!D153</f>
        <v>2725433</v>
      </c>
      <c r="J27" s="30" t="n">
        <f aca="false">I27/H27-1</f>
        <v>-0.0190599660450714</v>
      </c>
      <c r="K27" s="20" t="n">
        <f aca="false">I27-H27</f>
        <v>-52956</v>
      </c>
      <c r="L27" s="30" t="n">
        <f aca="false">I27/C27-1</f>
        <v>0.507412247977208</v>
      </c>
      <c r="M27" s="20" t="n">
        <f aca="false">I27-C27</f>
        <v>917412</v>
      </c>
      <c r="N27" s="20" t="n">
        <f aca="false">SUM(C27:I27)</f>
        <v>15586749</v>
      </c>
      <c r="O27" s="39" t="n">
        <f aca="false">N27/'수출입 실적(성질별)'!$D$6</f>
        <v>0.0261934506462666</v>
      </c>
      <c r="P27" s="39" t="n">
        <f aca="false">IFERROR(M27/('수출입 총괄'!E13-'수출입 총괄'!E7),"-")</f>
        <v>0.027703684493526</v>
      </c>
      <c r="Q27" s="30" t="n">
        <f aca="false">MAX(D27/C27-1,E27/D27-1,F27/E27-1,G27/F27-1,H27/G27-1,I27/H27-1)</f>
        <v>0.451902154032671</v>
      </c>
      <c r="R27" s="30" t="n">
        <f aca="false">MIN(D27/C27-1,E27/D27-1,F27/E27-1,G27/F27-1,H27/G27-1,I27/H27-1)</f>
        <v>-0.171427000303524</v>
      </c>
    </row>
    <row r="28" customFormat="false" ht="15" hidden="false" customHeight="false" outlineLevel="0" collapsed="false">
      <c r="B28" s="13" t="s">
        <v>171</v>
      </c>
      <c r="C28" s="23" t="n">
        <f aca="false">C7+C8+C9+C21</f>
        <v>65843937</v>
      </c>
      <c r="D28" s="23" t="n">
        <f aca="false">D7+D8+D9+D21</f>
        <v>67642547</v>
      </c>
      <c r="E28" s="23" t="n">
        <f aca="false">E7+E8+E9+E21</f>
        <v>87333128</v>
      </c>
      <c r="F28" s="23" t="n">
        <f aca="false">F7+F8+F9+F21</f>
        <v>85751883</v>
      </c>
      <c r="G28" s="23" t="n">
        <f aca="false">G7+G8+G9+G21</f>
        <v>87576084</v>
      </c>
      <c r="H28" s="23" t="n">
        <f aca="false">H7+H8+H9+H21</f>
        <v>101956158</v>
      </c>
      <c r="I28" s="23" t="n">
        <f aca="false">I7+I8+I9+I21</f>
        <v>98959100</v>
      </c>
      <c r="J28" s="33" t="n">
        <f aca="false">I28/H28-1</f>
        <v>-0.0293955564704587</v>
      </c>
      <c r="K28" s="23" t="n">
        <f aca="false">I28-H28</f>
        <v>-2997058</v>
      </c>
      <c r="L28" s="33" t="n">
        <f aca="false">I28/C28-1</f>
        <v>0.502934127404927</v>
      </c>
      <c r="M28" s="23" t="n">
        <f aca="false">I28-C28</f>
        <v>33115163</v>
      </c>
      <c r="N28" s="23" t="n">
        <f aca="false">SUM(C28:I28)</f>
        <v>595062837</v>
      </c>
      <c r="O28" s="41" t="n">
        <f aca="false">N28/'수출입 실적(성질별)'!$D$6</f>
        <v>1.00000000336099</v>
      </c>
      <c r="P28" s="41" t="n">
        <f aca="false">M28/('수출입 총괄'!E13-'수출입 총괄'!E7)</f>
        <v>1.00000003019765</v>
      </c>
    </row>
    <row r="31" customFormat="false" ht="14.9" hidden="false" customHeight="false" outlineLevel="0" collapsed="false">
      <c r="A31" s="16" t="s">
        <v>172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30" hidden="false" customHeight="true" outlineLevel="0" collapsed="false">
      <c r="A32" s="17" t="s">
        <v>108</v>
      </c>
      <c r="B32" s="17" t="s">
        <v>138</v>
      </c>
      <c r="C32" s="26" t="s">
        <v>13</v>
      </c>
      <c r="D32" s="26" t="s">
        <v>14</v>
      </c>
      <c r="E32" s="26" t="s">
        <v>15</v>
      </c>
      <c r="F32" s="26" t="s">
        <v>16</v>
      </c>
      <c r="G32" s="26" t="s">
        <v>17</v>
      </c>
      <c r="H32" s="26" t="s">
        <v>18</v>
      </c>
      <c r="I32" s="26" t="s">
        <v>19</v>
      </c>
      <c r="J32" s="26" t="s">
        <v>139</v>
      </c>
      <c r="K32" s="26" t="s">
        <v>140</v>
      </c>
      <c r="L32" s="26" t="s">
        <v>141</v>
      </c>
      <c r="M32" s="26" t="s">
        <v>142</v>
      </c>
      <c r="N32" s="26" t="s">
        <v>143</v>
      </c>
      <c r="O32" s="17" t="s">
        <v>144</v>
      </c>
      <c r="P32" s="17" t="s">
        <v>145</v>
      </c>
      <c r="Q32" s="17" t="s">
        <v>146</v>
      </c>
      <c r="R32" s="17" t="s">
        <v>147</v>
      </c>
    </row>
    <row r="33" customFormat="false" ht="15" hidden="false" customHeight="false" outlineLevel="0" collapsed="false">
      <c r="A33" s="36" t="s">
        <v>148</v>
      </c>
      <c r="B33" s="37" t="s">
        <v>173</v>
      </c>
      <c r="C33" s="38" t="n">
        <f aca="false">'수출입 실적(신성질별)'!D7</f>
        <v>7671931</v>
      </c>
      <c r="D33" s="38" t="n">
        <f aca="false">'수출입 실적(신성질별)'!D24</f>
        <v>6598332</v>
      </c>
      <c r="E33" s="38" t="n">
        <f aca="false">'수출입 실적(신성질별)'!D41</f>
        <v>8402972</v>
      </c>
      <c r="F33" s="38" t="n">
        <f aca="false">'수출입 실적(신성질별)'!D58</f>
        <v>8692026</v>
      </c>
      <c r="G33" s="38" t="n">
        <f aca="false">'수출입 실적(신성질별)'!D75</f>
        <v>7818478</v>
      </c>
      <c r="H33" s="38" t="n">
        <f aca="false">'수출입 실적(신성질별)'!D92</f>
        <v>8762452</v>
      </c>
      <c r="I33" s="38" t="n">
        <f aca="false">'수출입 실적(신성질별)'!D109</f>
        <v>8749031</v>
      </c>
      <c r="J33" s="33" t="n">
        <f aca="false">I33/H33-1</f>
        <v>-0.00153164890375435</v>
      </c>
      <c r="K33" s="20" t="n">
        <f aca="false">I33-H33</f>
        <v>-13421</v>
      </c>
      <c r="L33" s="33" t="n">
        <f aca="false">I33/C33-1</f>
        <v>0.140394901883242</v>
      </c>
      <c r="M33" s="20" t="n">
        <f aca="false">I33-C33</f>
        <v>1077100</v>
      </c>
      <c r="N33" s="20" t="n">
        <f aca="false">SUM(C33:I33)</f>
        <v>56695222</v>
      </c>
      <c r="O33" s="39" t="n">
        <f aca="false">N33/'수출입 실적(신성질별)'!$D$6</f>
        <v>0.0952760257662537</v>
      </c>
      <c r="P33" s="39" t="n">
        <f aca="false">IFERROR(M33/('수출입 총괄'!E13-'수출입 총괄'!E7),"-")</f>
        <v>0.0325258864806399</v>
      </c>
      <c r="Q33" s="30" t="n">
        <f aca="false">MAX(D33/C33-1,E33/D33-1,F33/E33-1,G33/F33-1,H33/G33-1,I33/H33-1)</f>
        <v>0.273499423793771</v>
      </c>
      <c r="R33" s="30" t="n">
        <f aca="false">MIN(D33/C33-1,E33/D33-1,F33/E33-1,G33/F33-1,H33/G33-1,I33/H33-1)</f>
        <v>-0.139938563055377</v>
      </c>
    </row>
    <row r="34" customFormat="false" ht="15" hidden="false" customHeight="false" outlineLevel="0" collapsed="false">
      <c r="A34" s="19" t="s">
        <v>152</v>
      </c>
      <c r="B34" s="40" t="s">
        <v>174</v>
      </c>
      <c r="C34" s="20" t="n">
        <f aca="false">'수출입 실적(신성질별)'!D8</f>
        <v>974471</v>
      </c>
      <c r="D34" s="20" t="n">
        <f aca="false">'수출입 실적(신성질별)'!D25</f>
        <v>884224</v>
      </c>
      <c r="E34" s="20" t="n">
        <f aca="false">'수출입 실적(신성질별)'!D42</f>
        <v>1097568</v>
      </c>
      <c r="F34" s="20" t="n">
        <f aca="false">'수출입 실적(신성질별)'!D59</f>
        <v>1142829</v>
      </c>
      <c r="G34" s="20" t="n">
        <f aca="false">'수출입 실적(신성질별)'!D76</f>
        <v>974774</v>
      </c>
      <c r="H34" s="20" t="n">
        <f aca="false">'수출입 실적(신성질별)'!D93</f>
        <v>1070206</v>
      </c>
      <c r="I34" s="20" t="n">
        <f aca="false">'수출입 실적(신성질별)'!D110</f>
        <v>1020785</v>
      </c>
      <c r="J34" s="30" t="n">
        <f aca="false">I34/H34-1</f>
        <v>-0.0461789599385539</v>
      </c>
      <c r="K34" s="20" t="n">
        <f aca="false">I34-H34</f>
        <v>-49421</v>
      </c>
      <c r="L34" s="30" t="n">
        <f aca="false">I34/C34-1</f>
        <v>0.047527325082019</v>
      </c>
      <c r="M34" s="20" t="n">
        <f aca="false">I34-C34</f>
        <v>46314</v>
      </c>
      <c r="N34" s="20" t="n">
        <f aca="false">SUM(C34:I34)</f>
        <v>7164857</v>
      </c>
      <c r="O34" s="39" t="n">
        <f aca="false">N34/'수출입 실적(신성질별)'!$D$6</f>
        <v>0.0120405049325589</v>
      </c>
      <c r="P34" s="39" t="n">
        <f aca="false">IFERROR(M34/('수출입 총괄'!E13-'수출입 총괄'!E7),"-")</f>
        <v>0.00139857386172533</v>
      </c>
      <c r="Q34" s="30" t="n">
        <f aca="false">MAX(D34/C34-1,E34/D34-1,F34/E34-1,G34/F34-1,H34/G34-1,I34/H34-1)</f>
        <v>0.241278228141286</v>
      </c>
      <c r="R34" s="30" t="n">
        <f aca="false">MIN(D34/C34-1,E34/D34-1,F34/E34-1,G34/F34-1,H34/G34-1,I34/H34-1)</f>
        <v>-0.147051746149249</v>
      </c>
    </row>
    <row r="35" customFormat="false" ht="15" hidden="false" customHeight="false" outlineLevel="0" collapsed="false">
      <c r="A35" s="19" t="s">
        <v>152</v>
      </c>
      <c r="B35" s="40" t="s">
        <v>175</v>
      </c>
      <c r="C35" s="20" t="n">
        <f aca="false">'수출입 실적(신성질별)'!D9</f>
        <v>5005260</v>
      </c>
      <c r="D35" s="20" t="n">
        <f aca="false">'수출입 실적(신성질별)'!D26</f>
        <v>4228150</v>
      </c>
      <c r="E35" s="20" t="n">
        <f aca="false">'수출입 실적(신성질별)'!D43</f>
        <v>5399350</v>
      </c>
      <c r="F35" s="20" t="n">
        <f aca="false">'수출입 실적(신성질별)'!D60</f>
        <v>5383793</v>
      </c>
      <c r="G35" s="20" t="n">
        <f aca="false">'수출입 실적(신성질별)'!D77</f>
        <v>4926332</v>
      </c>
      <c r="H35" s="20" t="n">
        <f aca="false">'수출입 실적(신성질별)'!D94</f>
        <v>5522573</v>
      </c>
      <c r="I35" s="20" t="n">
        <f aca="false">'수출입 실적(신성질별)'!D111</f>
        <v>5560337</v>
      </c>
      <c r="J35" s="30" t="n">
        <f aca="false">I35/H35-1</f>
        <v>0.00683811694295389</v>
      </c>
      <c r="K35" s="20" t="n">
        <f aca="false">I35-H35</f>
        <v>37764</v>
      </c>
      <c r="L35" s="30" t="n">
        <f aca="false">I35/C35-1</f>
        <v>0.110898734531273</v>
      </c>
      <c r="M35" s="20" t="n">
        <f aca="false">I35-C35</f>
        <v>555077</v>
      </c>
      <c r="N35" s="20" t="n">
        <f aca="false">SUM(C35:I35)</f>
        <v>36025795</v>
      </c>
      <c r="O35" s="39" t="n">
        <f aca="false">N35/'수출입 실적(신성질별)'!$D$6</f>
        <v>0.0605411611699796</v>
      </c>
      <c r="P35" s="39" t="n">
        <f aca="false">IFERROR(M35/('수출입 총괄'!E13-'수출입 총괄'!E7),"-")</f>
        <v>0.0167620197660516</v>
      </c>
      <c r="Q35" s="30" t="n">
        <f aca="false">MAX(D35/C35-1,E35/D35-1,F35/E35-1,G35/F35-1,H35/G35-1,I35/H35-1)</f>
        <v>0.277000579449641</v>
      </c>
      <c r="R35" s="30" t="n">
        <f aca="false">MIN(D35/C35-1,E35/D35-1,F35/E35-1,G35/F35-1,H35/G35-1,I35/H35-1)</f>
        <v>-0.155258667881389</v>
      </c>
    </row>
    <row r="36" customFormat="false" ht="15" hidden="false" customHeight="false" outlineLevel="0" collapsed="false">
      <c r="A36" s="19" t="s">
        <v>152</v>
      </c>
      <c r="B36" s="40" t="s">
        <v>176</v>
      </c>
      <c r="C36" s="20" t="n">
        <f aca="false">'수출입 실적(신성질별)'!D10</f>
        <v>1688959</v>
      </c>
      <c r="D36" s="20" t="n">
        <f aca="false">'수출입 실적(신성질별)'!D27</f>
        <v>1482909</v>
      </c>
      <c r="E36" s="20" t="n">
        <f aca="false">'수출입 실적(신성질별)'!D44</f>
        <v>1902412</v>
      </c>
      <c r="F36" s="20" t="n">
        <f aca="false">'수출입 실적(신성질별)'!D61</f>
        <v>2162912</v>
      </c>
      <c r="G36" s="20" t="n">
        <f aca="false">'수출입 실적(신성질별)'!D78</f>
        <v>1914940</v>
      </c>
      <c r="H36" s="20" t="n">
        <f aca="false">'수출입 실적(신성질별)'!D95</f>
        <v>2166222</v>
      </c>
      <c r="I36" s="20" t="n">
        <f aca="false">'수출입 실적(신성질별)'!D112</f>
        <v>2163797</v>
      </c>
      <c r="J36" s="30" t="n">
        <f aca="false">I36/H36-1</f>
        <v>-0.00111946051697376</v>
      </c>
      <c r="K36" s="20" t="n">
        <f aca="false">I36-H36</f>
        <v>-2425</v>
      </c>
      <c r="L36" s="30" t="n">
        <f aca="false">I36/C36-1</f>
        <v>0.281142407838201</v>
      </c>
      <c r="M36" s="20" t="n">
        <f aca="false">I36-C36</f>
        <v>474838</v>
      </c>
      <c r="N36" s="20" t="n">
        <f aca="false">SUM(C36:I36)</f>
        <v>13482151</v>
      </c>
      <c r="O36" s="39" t="n">
        <f aca="false">N36/'수출입 실적(신성질별)'!$D$6</f>
        <v>0.0226566846507899</v>
      </c>
      <c r="P36" s="39" t="n">
        <f aca="false">IFERROR(M36/('수출입 총괄'!E13-'수출입 총괄'!E7),"-")</f>
        <v>0.0143389907016007</v>
      </c>
      <c r="Q36" s="30" t="n">
        <f aca="false">MAX(D36/C36-1,E36/D36-1,F36/E36-1,G36/F36-1,H36/G36-1,I36/H36-1)</f>
        <v>0.282891937401419</v>
      </c>
      <c r="R36" s="30" t="n">
        <f aca="false">MIN(D36/C36-1,E36/D36-1,F36/E36-1,G36/F36-1,H36/G36-1,I36/H36-1)</f>
        <v>-0.121998224942109</v>
      </c>
    </row>
    <row r="37" customFormat="false" ht="15" hidden="false" customHeight="false" outlineLevel="0" collapsed="false">
      <c r="A37" s="19" t="s">
        <v>152</v>
      </c>
      <c r="B37" s="40" t="s">
        <v>177</v>
      </c>
      <c r="C37" s="20" t="n">
        <f aca="false">'수출입 실적(신성질별)'!D11</f>
        <v>3241</v>
      </c>
      <c r="D37" s="20" t="n">
        <f aca="false">'수출입 실적(신성질별)'!D28</f>
        <v>3050</v>
      </c>
      <c r="E37" s="20" t="n">
        <f aca="false">'수출입 실적(신성질별)'!D45</f>
        <v>3641</v>
      </c>
      <c r="F37" s="20" t="n">
        <f aca="false">'수출입 실적(신성질별)'!D62</f>
        <v>2491</v>
      </c>
      <c r="G37" s="20" t="n">
        <f aca="false">'수출입 실적(신성질별)'!D79</f>
        <v>2432</v>
      </c>
      <c r="H37" s="20" t="n">
        <f aca="false">'수출입 실적(신성질별)'!D96</f>
        <v>3451</v>
      </c>
      <c r="I37" s="20" t="n">
        <f aca="false">'수출입 실적(신성질별)'!D113</f>
        <v>4113</v>
      </c>
      <c r="J37" s="30" t="n">
        <f aca="false">I37/H37-1</f>
        <v>0.191828455520139</v>
      </c>
      <c r="K37" s="20" t="n">
        <f aca="false">I37-H37</f>
        <v>662</v>
      </c>
      <c r="L37" s="30" t="n">
        <f aca="false">I37/C37-1</f>
        <v>0.269052761493366</v>
      </c>
      <c r="M37" s="20" t="n">
        <f aca="false">I37-C37</f>
        <v>872</v>
      </c>
      <c r="N37" s="20" t="n">
        <f aca="false">SUM(C37:I37)</f>
        <v>22419</v>
      </c>
      <c r="O37" s="39" t="n">
        <f aca="false">N37/'수출입 실적(신성질별)'!$D$6</f>
        <v>3.76750129253157E-005</v>
      </c>
      <c r="P37" s="39" t="n">
        <f aca="false">IFERROR(M37/('수출입 총괄'!E13-'수출입 총괄'!E7),"-")</f>
        <v>2.63323489101458E-005</v>
      </c>
      <c r="Q37" s="30" t="n">
        <f aca="false">MAX(D37/C37-1,E37/D37-1,F37/E37-1,G37/F37-1,H37/G37-1,I37/H37-1)</f>
        <v>0.418996710526316</v>
      </c>
      <c r="R37" s="30" t="n">
        <f aca="false">MIN(D37/C37-1,E37/D37-1,F37/E37-1,G37/F37-1,H37/G37-1,I37/H37-1)</f>
        <v>-0.315847294699258</v>
      </c>
    </row>
    <row r="38" customFormat="false" ht="15" hidden="false" customHeight="false" outlineLevel="0" collapsed="false">
      <c r="A38" s="36" t="s">
        <v>148</v>
      </c>
      <c r="B38" s="37" t="s">
        <v>178</v>
      </c>
      <c r="C38" s="38" t="n">
        <f aca="false">'수출입 실적(신성질별)'!D12</f>
        <v>16383039</v>
      </c>
      <c r="D38" s="38" t="n">
        <f aca="false">'수출입 실적(신성질별)'!D29</f>
        <v>16305033</v>
      </c>
      <c r="E38" s="38" t="n">
        <f aca="false">'수출입 실적(신성질별)'!D46</f>
        <v>20857696</v>
      </c>
      <c r="F38" s="38" t="n">
        <f aca="false">'수출입 실적(신성질별)'!D63</f>
        <v>20089347</v>
      </c>
      <c r="G38" s="38" t="n">
        <f aca="false">'수출입 실적(신성질별)'!D80</f>
        <v>19373529</v>
      </c>
      <c r="H38" s="38" t="n">
        <f aca="false">'수출입 실적(신성질별)'!D97</f>
        <v>20737509</v>
      </c>
      <c r="I38" s="38" t="n">
        <f aca="false">'수출입 실적(신성질별)'!D114</f>
        <v>20962899</v>
      </c>
      <c r="J38" s="33" t="n">
        <f aca="false">I38/H38-1</f>
        <v>0.0108687113770511</v>
      </c>
      <c r="K38" s="20" t="n">
        <f aca="false">I38-H38</f>
        <v>225390</v>
      </c>
      <c r="L38" s="33" t="n">
        <f aca="false">I38/C38-1</f>
        <v>0.279548867581894</v>
      </c>
      <c r="M38" s="20" t="n">
        <f aca="false">I38-C38</f>
        <v>4579860</v>
      </c>
      <c r="N38" s="20" t="n">
        <f aca="false">SUM(C38:I38)</f>
        <v>134709052</v>
      </c>
      <c r="O38" s="39" t="n">
        <f aca="false">N38/'수출입 실적(신성질별)'!$D$6</f>
        <v>0.22637786142366</v>
      </c>
      <c r="P38" s="39" t="n">
        <f aca="false">IFERROR(M38/('수출입 총괄'!E13-'수출입 총괄'!E7),"-")</f>
        <v>0.138300999403234</v>
      </c>
      <c r="Q38" s="30" t="n">
        <f aca="false">MAX(D38/C38-1,E38/D38-1,F38/E38-1,G38/F38-1,H38/G38-1,I38/H38-1)</f>
        <v>0.27921826346503</v>
      </c>
      <c r="R38" s="30" t="n">
        <f aca="false">MIN(D38/C38-1,E38/D38-1,F38/E38-1,G38/F38-1,H38/G38-1,I38/H38-1)</f>
        <v>-0.0368376737296392</v>
      </c>
    </row>
    <row r="39" customFormat="false" ht="15" hidden="false" customHeight="false" outlineLevel="0" collapsed="false">
      <c r="A39" s="19" t="s">
        <v>152</v>
      </c>
      <c r="B39" s="40" t="s">
        <v>179</v>
      </c>
      <c r="C39" s="20" t="n">
        <f aca="false">'수출입 실적(신성질별)'!D13</f>
        <v>417054</v>
      </c>
      <c r="D39" s="20" t="n">
        <f aca="false">'수출입 실적(신성질별)'!D30</f>
        <v>362450</v>
      </c>
      <c r="E39" s="20" t="n">
        <f aca="false">'수출입 실적(신성질별)'!D47</f>
        <v>474814</v>
      </c>
      <c r="F39" s="20" t="n">
        <f aca="false">'수출입 실적(신성질별)'!D64</f>
        <v>483456</v>
      </c>
      <c r="G39" s="20" t="n">
        <f aca="false">'수출입 실적(신성질별)'!D81</f>
        <v>441975</v>
      </c>
      <c r="H39" s="20" t="n">
        <f aca="false">'수출입 실적(신성질별)'!D98</f>
        <v>479072</v>
      </c>
      <c r="I39" s="20" t="n">
        <f aca="false">'수출입 실적(신성질별)'!D115</f>
        <v>483744</v>
      </c>
      <c r="J39" s="30" t="n">
        <f aca="false">I39/H39-1</f>
        <v>0.00975218756262097</v>
      </c>
      <c r="K39" s="20" t="n">
        <f aca="false">I39-H39</f>
        <v>4672</v>
      </c>
      <c r="L39" s="30" t="n">
        <f aca="false">I39/C39-1</f>
        <v>0.159907350127322</v>
      </c>
      <c r="M39" s="20" t="n">
        <f aca="false">I39-C39</f>
        <v>66690</v>
      </c>
      <c r="N39" s="20" t="n">
        <f aca="false">SUM(C39:I39)</f>
        <v>3142565</v>
      </c>
      <c r="O39" s="39" t="n">
        <f aca="false">N39/'수출입 실적(신성질별)'!$D$6</f>
        <v>0.00528106414173891</v>
      </c>
      <c r="P39" s="39" t="n">
        <f aca="false">IFERROR(M39/('수출입 총괄'!E13-'수출입 총괄'!E7),"-")</f>
        <v>0.00201388113396516</v>
      </c>
      <c r="Q39" s="30" t="n">
        <f aca="false">MAX(D39/C39-1,E39/D39-1,F39/E39-1,G39/F39-1,H39/G39-1,I39/H39-1)</f>
        <v>0.310012415505587</v>
      </c>
      <c r="R39" s="30" t="n">
        <f aca="false">MIN(D39/C39-1,E39/D39-1,F39/E39-1,G39/F39-1,H39/G39-1,I39/H39-1)</f>
        <v>-0.130927889433982</v>
      </c>
    </row>
    <row r="40" customFormat="false" ht="15" hidden="false" customHeight="false" outlineLevel="0" collapsed="false">
      <c r="A40" s="19" t="s">
        <v>152</v>
      </c>
      <c r="B40" s="40" t="s">
        <v>180</v>
      </c>
      <c r="C40" s="20" t="n">
        <f aca="false">'수출입 실적(신성질별)'!D14</f>
        <v>546437</v>
      </c>
      <c r="D40" s="20" t="n">
        <f aca="false">'수출입 실적(신성질별)'!D31</f>
        <v>468104</v>
      </c>
      <c r="E40" s="20" t="n">
        <f aca="false">'수출입 실적(신성질별)'!D48</f>
        <v>574999</v>
      </c>
      <c r="F40" s="20" t="n">
        <f aca="false">'수출입 실적(신성질별)'!D65</f>
        <v>634737</v>
      </c>
      <c r="G40" s="20" t="n">
        <f aca="false">'수출입 실적(신성질별)'!D82</f>
        <v>524092</v>
      </c>
      <c r="H40" s="20" t="n">
        <f aca="false">'수출입 실적(신성질별)'!D99</f>
        <v>577982</v>
      </c>
      <c r="I40" s="20" t="n">
        <f aca="false">'수출입 실적(신성질별)'!D116</f>
        <v>593803</v>
      </c>
      <c r="J40" s="30" t="n">
        <f aca="false">I40/H40-1</f>
        <v>0.0273728247592486</v>
      </c>
      <c r="K40" s="20" t="n">
        <f aca="false">I40-H40</f>
        <v>15821</v>
      </c>
      <c r="L40" s="30" t="n">
        <f aca="false">I40/C40-1</f>
        <v>0.0866815387684217</v>
      </c>
      <c r="M40" s="20" t="n">
        <f aca="false">I40-C40</f>
        <v>47366</v>
      </c>
      <c r="N40" s="20" t="n">
        <f aca="false">SUM(C40:I40)</f>
        <v>3920154</v>
      </c>
      <c r="O40" s="39" t="n">
        <f aca="false">N40/'수출입 실적(신성질별)'!$D$6</f>
        <v>0.00658779841291887</v>
      </c>
      <c r="P40" s="39" t="n">
        <f aca="false">IFERROR(M40/('수출입 총괄'!E13-'수출입 총괄'!E7),"-")</f>
        <v>0.00143034178724537</v>
      </c>
      <c r="Q40" s="30" t="n">
        <f aca="false">MAX(D40/C40-1,E40/D40-1,F40/E40-1,G40/F40-1,H40/G40-1,I40/H40-1)</f>
        <v>0.228357373575103</v>
      </c>
      <c r="R40" s="30" t="n">
        <f aca="false">MIN(D40/C40-1,E40/D40-1,F40/E40-1,G40/F40-1,H40/G40-1,I40/H40-1)</f>
        <v>-0.174316291629447</v>
      </c>
    </row>
    <row r="41" customFormat="false" ht="15" hidden="false" customHeight="false" outlineLevel="0" collapsed="false">
      <c r="A41" s="19" t="s">
        <v>152</v>
      </c>
      <c r="B41" s="40" t="s">
        <v>181</v>
      </c>
      <c r="C41" s="20" t="n">
        <f aca="false">'수출입 실적(신성질별)'!D15</f>
        <v>4965073</v>
      </c>
      <c r="D41" s="20" t="n">
        <f aca="false">'수출입 실적(신성질별)'!D32</f>
        <v>5569123</v>
      </c>
      <c r="E41" s="20" t="n">
        <f aca="false">'수출입 실적(신성질별)'!D49</f>
        <v>8406373</v>
      </c>
      <c r="F41" s="20" t="n">
        <f aca="false">'수출입 실적(신성질별)'!D66</f>
        <v>6735380</v>
      </c>
      <c r="G41" s="20" t="n">
        <f aca="false">'수출입 실적(신성질별)'!D83</f>
        <v>7223537</v>
      </c>
      <c r="H41" s="20" t="n">
        <f aca="false">'수출입 실적(신성질별)'!D100</f>
        <v>7332370</v>
      </c>
      <c r="I41" s="20" t="n">
        <f aca="false">'수출입 실적(신성질별)'!D117</f>
        <v>7297526</v>
      </c>
      <c r="J41" s="30" t="n">
        <f aca="false">I41/H41-1</f>
        <v>-0.00475207879580541</v>
      </c>
      <c r="K41" s="20" t="n">
        <f aca="false">I41-H41</f>
        <v>-34844</v>
      </c>
      <c r="L41" s="30" t="n">
        <f aca="false">I41/C41-1</f>
        <v>0.469772146351121</v>
      </c>
      <c r="M41" s="20" t="n">
        <f aca="false">I41-C41</f>
        <v>2332453</v>
      </c>
      <c r="N41" s="20" t="n">
        <f aca="false">SUM(C41:I41)</f>
        <v>47529382</v>
      </c>
      <c r="O41" s="39" t="n">
        <f aca="false">N41/'수출입 실적(신성질별)'!$D$6</f>
        <v>0.0798728793069391</v>
      </c>
      <c r="P41" s="39" t="n">
        <f aca="false">IFERROR(M41/('수출입 총괄'!E13-'수출입 총괄'!E7),"-")</f>
        <v>0.0704345942804085</v>
      </c>
      <c r="Q41" s="30" t="n">
        <f aca="false">MAX(D41/C41-1,E41/D41-1,F41/E41-1,G41/F41-1,H41/G41-1,I41/H41-1)</f>
        <v>0.509460825340004</v>
      </c>
      <c r="R41" s="30" t="n">
        <f aca="false">MIN(D41/C41-1,E41/D41-1,F41/E41-1,G41/F41-1,H41/G41-1,I41/H41-1)</f>
        <v>-0.198776927933129</v>
      </c>
    </row>
    <row r="42" customFormat="false" ht="15" hidden="false" customHeight="false" outlineLevel="0" collapsed="false">
      <c r="A42" s="19" t="s">
        <v>152</v>
      </c>
      <c r="B42" s="40" t="s">
        <v>182</v>
      </c>
      <c r="C42" s="20" t="n">
        <f aca="false">'수출입 실적(신성질별)'!D16</f>
        <v>3502462</v>
      </c>
      <c r="D42" s="20" t="n">
        <f aca="false">'수출입 실적(신성질별)'!D33</f>
        <v>3259378</v>
      </c>
      <c r="E42" s="20" t="n">
        <f aca="false">'수출입 실적(신성질별)'!D50</f>
        <v>3576759</v>
      </c>
      <c r="F42" s="20" t="n">
        <f aca="false">'수출입 실적(신성질별)'!D67</f>
        <v>4020760</v>
      </c>
      <c r="G42" s="20" t="n">
        <f aca="false">'수출입 실적(신성질별)'!D84</f>
        <v>3767266</v>
      </c>
      <c r="H42" s="20" t="n">
        <f aca="false">'수출입 실적(신성질별)'!D101</f>
        <v>4036403</v>
      </c>
      <c r="I42" s="20" t="n">
        <f aca="false">'수출입 실적(신성질별)'!D118</f>
        <v>4137091</v>
      </c>
      <c r="J42" s="30" t="n">
        <f aca="false">I42/H42-1</f>
        <v>0.0249449819554688</v>
      </c>
      <c r="K42" s="20" t="n">
        <f aca="false">I42-H42</f>
        <v>100688</v>
      </c>
      <c r="L42" s="30" t="n">
        <f aca="false">I42/C42-1</f>
        <v>0.181195113608656</v>
      </c>
      <c r="M42" s="20" t="n">
        <f aca="false">I42-C42</f>
        <v>634629</v>
      </c>
      <c r="N42" s="20" t="n">
        <f aca="false">SUM(C42:I42)</f>
        <v>26300119</v>
      </c>
      <c r="O42" s="39" t="n">
        <f aca="false">N42/'수출입 실적(신성질별)'!$D$6</f>
        <v>0.0441972132237094</v>
      </c>
      <c r="P42" s="39" t="n">
        <f aca="false">IFERROR(M42/('수출입 총괄'!E13-'수출입 총괄'!E7),"-")</f>
        <v>0.0191643030464414</v>
      </c>
      <c r="Q42" s="30" t="n">
        <f aca="false">MAX(D42/C42-1,E42/D42-1,F42/E42-1,G42/F42-1,H42/G42-1,I42/H42-1)</f>
        <v>0.124135006020814</v>
      </c>
      <c r="R42" s="30" t="n">
        <f aca="false">MIN(D42/C42-1,E42/D42-1,F42/E42-1,G42/F42-1,H42/G42-1,I42/H42-1)</f>
        <v>-0.0694037508472611</v>
      </c>
    </row>
    <row r="43" customFormat="false" ht="15" hidden="false" customHeight="false" outlineLevel="0" collapsed="false">
      <c r="A43" s="19" t="s">
        <v>152</v>
      </c>
      <c r="B43" s="40" t="s">
        <v>183</v>
      </c>
      <c r="C43" s="20" t="n">
        <f aca="false">'수출입 실적(신성질별)'!D17</f>
        <v>6944019</v>
      </c>
      <c r="D43" s="20" t="n">
        <f aca="false">'수출입 실적(신성질별)'!D34</f>
        <v>6639199</v>
      </c>
      <c r="E43" s="20" t="n">
        <f aca="false">'수출입 실적(신성질별)'!D51</f>
        <v>7799370</v>
      </c>
      <c r="F43" s="20" t="n">
        <f aca="false">'수출입 실적(신성질별)'!D68</f>
        <v>8205105</v>
      </c>
      <c r="G43" s="20" t="n">
        <f aca="false">'수출입 실적(신성질별)'!D85</f>
        <v>7407806</v>
      </c>
      <c r="H43" s="20" t="n">
        <f aca="false">'수출입 실적(신성질별)'!D102</f>
        <v>8299470</v>
      </c>
      <c r="I43" s="20" t="n">
        <f aca="false">'수출입 실적(신성질별)'!D119</f>
        <v>8437709</v>
      </c>
      <c r="J43" s="30" t="n">
        <f aca="false">I43/H43-1</f>
        <v>0.0166563648040177</v>
      </c>
      <c r="K43" s="20" t="n">
        <f aca="false">I43-H43</f>
        <v>138239</v>
      </c>
      <c r="L43" s="30" t="n">
        <f aca="false">I43/C43-1</f>
        <v>0.215104538164426</v>
      </c>
      <c r="M43" s="20" t="n">
        <f aca="false">I43-C43</f>
        <v>1493690</v>
      </c>
      <c r="N43" s="20" t="n">
        <f aca="false">SUM(C43:I43)</f>
        <v>53732678</v>
      </c>
      <c r="O43" s="39" t="n">
        <f aca="false">N43/'수출입 실적(신성질별)'!$D$6</f>
        <v>0.0902974859789387</v>
      </c>
      <c r="P43" s="39" t="n">
        <f aca="false">IFERROR(M43/('수출입 총괄'!E13-'수출입 총괄'!E7),"-")</f>
        <v>0.0451059245912794</v>
      </c>
      <c r="Q43" s="30" t="n">
        <f aca="false">MAX(D43/C43-1,E43/D43-1,F43/E43-1,G43/F43-1,H43/G43-1,I43/H43-1)</f>
        <v>0.174745628200028</v>
      </c>
      <c r="R43" s="30" t="n">
        <f aca="false">MIN(D43/C43-1,E43/D43-1,F43/E43-1,G43/F43-1,H43/G43-1,I43/H43-1)</f>
        <v>-0.0971710904369901</v>
      </c>
    </row>
    <row r="44" customFormat="false" ht="15" hidden="false" customHeight="false" outlineLevel="0" collapsed="false">
      <c r="A44" s="19" t="s">
        <v>152</v>
      </c>
      <c r="B44" s="40" t="s">
        <v>184</v>
      </c>
      <c r="C44" s="20" t="n">
        <f aca="false">'수출입 실적(신성질별)'!D18</f>
        <v>7994</v>
      </c>
      <c r="D44" s="20" t="n">
        <f aca="false">'수출입 실적(신성질별)'!D35</f>
        <v>6779</v>
      </c>
      <c r="E44" s="20" t="n">
        <f aca="false">'수출입 실적(신성질별)'!D52</f>
        <v>25382</v>
      </c>
      <c r="F44" s="20" t="n">
        <f aca="false">'수출입 실적(신성질별)'!D69</f>
        <v>9909</v>
      </c>
      <c r="G44" s="20" t="n">
        <f aca="false">'수출입 실적(신성질별)'!D86</f>
        <v>8854</v>
      </c>
      <c r="H44" s="20" t="n">
        <f aca="false">'수출입 실적(신성질별)'!D103</f>
        <v>12211</v>
      </c>
      <c r="I44" s="20" t="n">
        <f aca="false">'수출입 실적(신성질별)'!D120</f>
        <v>13026</v>
      </c>
      <c r="J44" s="30" t="n">
        <f aca="false">I44/H44-1</f>
        <v>0.0667431004831709</v>
      </c>
      <c r="K44" s="20" t="n">
        <f aca="false">I44-H44</f>
        <v>815</v>
      </c>
      <c r="L44" s="30" t="n">
        <f aca="false">I44/C44-1</f>
        <v>0.629472104078059</v>
      </c>
      <c r="M44" s="20" t="n">
        <f aca="false">I44-C44</f>
        <v>5032</v>
      </c>
      <c r="N44" s="20" t="n">
        <f aca="false">SUM(C44:I44)</f>
        <v>84155</v>
      </c>
      <c r="O44" s="39" t="n">
        <f aca="false">N44/'수출입 실적(신성질별)'!$D$6</f>
        <v>0.000141422039909449</v>
      </c>
      <c r="P44" s="39" t="n">
        <f aca="false">IFERROR(M44/('수출입 총괄'!E13-'수출입 총괄'!E7),"-")</f>
        <v>0.000151954563894327</v>
      </c>
      <c r="Q44" s="30" t="n">
        <f aca="false">MAX(D44/C44-1,E44/D44-1,F44/E44-1,G44/F44-1,H44/G44-1,I44/H44-1)</f>
        <v>2.7442100604809</v>
      </c>
      <c r="R44" s="30" t="n">
        <f aca="false">MIN(D44/C44-1,E44/D44-1,F44/E44-1,G44/F44-1,H44/G44-1,I44/H44-1)</f>
        <v>-0.609605232054212</v>
      </c>
    </row>
    <row r="45" customFormat="false" ht="15" hidden="false" customHeight="false" outlineLevel="0" collapsed="false">
      <c r="A45" s="36" t="s">
        <v>148</v>
      </c>
      <c r="B45" s="37" t="s">
        <v>185</v>
      </c>
      <c r="C45" s="38" t="n">
        <f aca="false">'수출입 실적(신성질별)'!D19</f>
        <v>41788967</v>
      </c>
      <c r="D45" s="38" t="n">
        <f aca="false">'수출입 실적(신성질별)'!D36</f>
        <v>44739182</v>
      </c>
      <c r="E45" s="38" t="n">
        <f aca="false">'수출입 실적(신성질별)'!D53</f>
        <v>58072460</v>
      </c>
      <c r="F45" s="38" t="n">
        <f aca="false">'수출입 실적(신성질별)'!D70</f>
        <v>56970510</v>
      </c>
      <c r="G45" s="38" t="n">
        <f aca="false">'수출입 실적(신성질별)'!D87</f>
        <v>60384076</v>
      </c>
      <c r="H45" s="38" t="n">
        <f aca="false">'수출입 실적(신성질별)'!D104</f>
        <v>72456198</v>
      </c>
      <c r="I45" s="38" t="n">
        <f aca="false">'수출입 실적(신성질별)'!D121</f>
        <v>69247169</v>
      </c>
      <c r="J45" s="33" t="n">
        <f aca="false">I45/H45-1</f>
        <v>-0.0442892269892494</v>
      </c>
      <c r="K45" s="20" t="n">
        <f aca="false">I45-H45</f>
        <v>-3209029</v>
      </c>
      <c r="L45" s="33" t="n">
        <f aca="false">I45/C45-1</f>
        <v>0.657068216115512</v>
      </c>
      <c r="M45" s="20" t="n">
        <f aca="false">I45-C45</f>
        <v>27458202</v>
      </c>
      <c r="N45" s="20" t="n">
        <f aca="false">SUM(C45:I45)</f>
        <v>403658562</v>
      </c>
      <c r="O45" s="39" t="n">
        <f aca="false">N45/'수출입 실적(신성질별)'!$D$6</f>
        <v>0.678346114490582</v>
      </c>
      <c r="P45" s="39" t="n">
        <f aca="false">IFERROR(M45/('수출입 총괄'!E13-'수출입 총괄'!E7),"-")</f>
        <v>0.829173114116126</v>
      </c>
      <c r="Q45" s="30" t="n">
        <f aca="false">MAX(D45/C45-1,E45/D45-1,F45/E45-1,G45/F45-1,H45/G45-1,I45/H45-1)</f>
        <v>0.298022391200626</v>
      </c>
      <c r="R45" s="30" t="n">
        <f aca="false">MIN(D45/C45-1,E45/D45-1,F45/E45-1,G45/F45-1,H45/G45-1,I45/H45-1)</f>
        <v>-0.0442892269892494</v>
      </c>
    </row>
    <row r="46" customFormat="false" ht="15" hidden="false" customHeight="false" outlineLevel="0" collapsed="false">
      <c r="A46" s="19" t="s">
        <v>152</v>
      </c>
      <c r="B46" s="40" t="s">
        <v>186</v>
      </c>
      <c r="C46" s="20" t="n">
        <f aca="false">'수출입 실적(신성질별)'!D20</f>
        <v>6678955</v>
      </c>
      <c r="D46" s="20" t="n">
        <f aca="false">'수출입 실적(신성질별)'!D37</f>
        <v>5681103</v>
      </c>
      <c r="E46" s="20" t="n">
        <f aca="false">'수출입 실적(신성질별)'!D54</f>
        <v>7938060</v>
      </c>
      <c r="F46" s="20" t="n">
        <f aca="false">'수출입 실적(신성질별)'!D71</f>
        <v>7210420</v>
      </c>
      <c r="G46" s="20" t="n">
        <f aca="false">'수출입 실적(신성질별)'!D88</f>
        <v>6396274</v>
      </c>
      <c r="H46" s="20" t="n">
        <f aca="false">'수출입 실적(신성질별)'!D105</f>
        <v>7782611</v>
      </c>
      <c r="I46" s="20" t="n">
        <f aca="false">'수출입 실적(신성질별)'!D122</f>
        <v>8015260</v>
      </c>
      <c r="J46" s="30" t="n">
        <f aca="false">I46/H46-1</f>
        <v>0.0298934380762446</v>
      </c>
      <c r="K46" s="20" t="n">
        <f aca="false">I46-H46</f>
        <v>232649</v>
      </c>
      <c r="L46" s="30" t="n">
        <f aca="false">I46/C46-1</f>
        <v>0.200076958146896</v>
      </c>
      <c r="M46" s="20" t="n">
        <f aca="false">I46-C46</f>
        <v>1336305</v>
      </c>
      <c r="N46" s="20" t="n">
        <f aca="false">SUM(C46:I46)</f>
        <v>49702683</v>
      </c>
      <c r="O46" s="39" t="n">
        <f aca="false">N46/'수출입 실적(신성질별)'!$D$6</f>
        <v>0.0835251003366729</v>
      </c>
      <c r="P46" s="39" t="n">
        <f aca="false">IFERROR(M46/('수출입 총괄'!E13-'수출입 총괄'!E7),"-")</f>
        <v>0.0403532677871242</v>
      </c>
      <c r="Q46" s="30" t="n">
        <f aca="false">MAX(D46/C46-1,E46/D46-1,F46/E46-1,G46/F46-1,H46/G46-1,I46/H46-1)</f>
        <v>0.397274437728026</v>
      </c>
      <c r="R46" s="30" t="n">
        <f aca="false">MIN(D46/C46-1,E46/D46-1,F46/E46-1,G46/F46-1,H46/G46-1,I46/H46-1)</f>
        <v>-0.149402414000394</v>
      </c>
    </row>
    <row r="47" customFormat="false" ht="15" hidden="false" customHeight="false" outlineLevel="0" collapsed="false">
      <c r="A47" s="19" t="s">
        <v>152</v>
      </c>
      <c r="B47" s="40" t="s">
        <v>187</v>
      </c>
      <c r="C47" s="20" t="n">
        <f aca="false">'수출입 실적(신성질별)'!D21</f>
        <v>8195778</v>
      </c>
      <c r="D47" s="20" t="n">
        <f aca="false">'수출입 실적(신성질별)'!D38</f>
        <v>7476200</v>
      </c>
      <c r="E47" s="20" t="n">
        <f aca="false">'수출입 실적(신성질별)'!D55</f>
        <v>9292951</v>
      </c>
      <c r="F47" s="20" t="n">
        <f aca="false">'수출입 실적(신성질별)'!D72</f>
        <v>9432934</v>
      </c>
      <c r="G47" s="20" t="n">
        <f aca="false">'수출입 실적(신성질별)'!D89</f>
        <v>8429178</v>
      </c>
      <c r="H47" s="20" t="n">
        <f aca="false">'수출입 실적(신성질별)'!D106</f>
        <v>9881074</v>
      </c>
      <c r="I47" s="20" t="n">
        <f aca="false">'수출입 실적(신성질별)'!D123</f>
        <v>10437690</v>
      </c>
      <c r="J47" s="30" t="n">
        <f aca="false">I47/H47-1</f>
        <v>0.0563315283338632</v>
      </c>
      <c r="K47" s="20" t="n">
        <f aca="false">I47-H47</f>
        <v>556616</v>
      </c>
      <c r="L47" s="30" t="n">
        <f aca="false">I47/C47-1</f>
        <v>0.27354474462339</v>
      </c>
      <c r="M47" s="20" t="n">
        <f aca="false">I47-C47</f>
        <v>2241912</v>
      </c>
      <c r="N47" s="20" t="n">
        <f aca="false">SUM(C47:I47)</f>
        <v>63145805</v>
      </c>
      <c r="O47" s="39" t="n">
        <f aca="false">N47/'수출입 실적(신성질별)'!$D$6</f>
        <v>0.106116196955906</v>
      </c>
      <c r="P47" s="39" t="n">
        <f aca="false">IFERROR(M47/('수출입 총괄'!E13-'수출입 총괄'!E7),"-")</f>
        <v>0.0677004690479847</v>
      </c>
      <c r="Q47" s="30" t="n">
        <f aca="false">MAX(D47/C47-1,E47/D47-1,F47/E47-1,G47/F47-1,H47/G47-1,I47/H47-1)</f>
        <v>0.243004601268024</v>
      </c>
      <c r="R47" s="30" t="n">
        <f aca="false">MIN(D47/C47-1,E47/D47-1,F47/E47-1,G47/F47-1,H47/G47-1,I47/H47-1)</f>
        <v>-0.106409734235393</v>
      </c>
    </row>
    <row r="48" customFormat="false" ht="15" hidden="false" customHeight="false" outlineLevel="0" collapsed="false">
      <c r="A48" s="19" t="s">
        <v>152</v>
      </c>
      <c r="B48" s="40" t="s">
        <v>188</v>
      </c>
      <c r="C48" s="20" t="n">
        <f aca="false">'수출입 실적(신성질별)'!D22</f>
        <v>4797650</v>
      </c>
      <c r="D48" s="20" t="n">
        <f aca="false">'수출입 실적(신성질별)'!D39</f>
        <v>5117377</v>
      </c>
      <c r="E48" s="20" t="n">
        <f aca="false">'수출입 실적(신성질별)'!D56</f>
        <v>6460687</v>
      </c>
      <c r="F48" s="20" t="n">
        <f aca="false">'수출입 실적(신성질별)'!D73</f>
        <v>6821884</v>
      </c>
      <c r="G48" s="20" t="n">
        <f aca="false">'수출입 실적(신성질별)'!D90</f>
        <v>6917946</v>
      </c>
      <c r="H48" s="20" t="n">
        <f aca="false">'수출입 실적(신성질별)'!D107</f>
        <v>8325417</v>
      </c>
      <c r="I48" s="20" t="n">
        <f aca="false">'수출입 실적(신성질별)'!D124</f>
        <v>8032683</v>
      </c>
      <c r="J48" s="30" t="n">
        <f aca="false">I48/H48-1</f>
        <v>-0.0351614820014421</v>
      </c>
      <c r="K48" s="20" t="n">
        <f aca="false">I48-H48</f>
        <v>-292734</v>
      </c>
      <c r="L48" s="30" t="n">
        <f aca="false">I48/C48-1</f>
        <v>0.674295332089669</v>
      </c>
      <c r="M48" s="20" t="n">
        <f aca="false">I48-C48</f>
        <v>3235033</v>
      </c>
      <c r="N48" s="20" t="n">
        <f aca="false">SUM(C48:I48)</f>
        <v>46473644</v>
      </c>
      <c r="O48" s="39" t="n">
        <f aca="false">N48/'수출입 실적(신성질별)'!$D$6</f>
        <v>0.0780987170875829</v>
      </c>
      <c r="P48" s="39" t="n">
        <f aca="false">IFERROR(M48/('수출입 총괄'!E13-'수출입 총괄'!E7),"-")</f>
        <v>0.0976903872612793</v>
      </c>
      <c r="Q48" s="30" t="n">
        <f aca="false">MAX(D48/C48-1,E48/D48-1,F48/E48-1,G48/F48-1,H48/G48-1,I48/H48-1)</f>
        <v>0.262499714209057</v>
      </c>
      <c r="R48" s="30" t="n">
        <f aca="false">MIN(D48/C48-1,E48/D48-1,F48/E48-1,G48/F48-1,H48/G48-1,I48/H48-1)</f>
        <v>-0.0351614820014421</v>
      </c>
    </row>
    <row r="49" customFormat="false" ht="15" hidden="false" customHeight="false" outlineLevel="0" collapsed="false">
      <c r="A49" s="19" t="s">
        <v>152</v>
      </c>
      <c r="B49" s="40" t="s">
        <v>189</v>
      </c>
      <c r="C49" s="20" t="n">
        <f aca="false">'수출입 실적(신성질별)'!D23</f>
        <v>22116584</v>
      </c>
      <c r="D49" s="20" t="n">
        <f aca="false">'수출입 실적(신성질별)'!D40</f>
        <v>26464502</v>
      </c>
      <c r="E49" s="20" t="n">
        <f aca="false">'수출입 실적(신성질별)'!D57</f>
        <v>34380761</v>
      </c>
      <c r="F49" s="20" t="n">
        <f aca="false">'수출입 실적(신성질별)'!D74</f>
        <v>33505272</v>
      </c>
      <c r="G49" s="20" t="n">
        <f aca="false">'수출입 실적(신성질별)'!D91</f>
        <v>38640678</v>
      </c>
      <c r="H49" s="20" t="n">
        <f aca="false">'수출입 실적(신성질별)'!D108</f>
        <v>46467096</v>
      </c>
      <c r="I49" s="20" t="n">
        <f aca="false">'수출입 실적(신성질별)'!D125</f>
        <v>42761535</v>
      </c>
      <c r="J49" s="30" t="n">
        <f aca="false">I49/H49-1</f>
        <v>-0.0797459131080626</v>
      </c>
      <c r="K49" s="20" t="n">
        <f aca="false">I49-H49</f>
        <v>-3705561</v>
      </c>
      <c r="L49" s="30" t="n">
        <f aca="false">I49/C49-1</f>
        <v>0.933460203438289</v>
      </c>
      <c r="M49" s="20" t="n">
        <f aca="false">I49-C49</f>
        <v>20644951</v>
      </c>
      <c r="N49" s="20" t="n">
        <f aca="false">SUM(C49:I49)</f>
        <v>244336428</v>
      </c>
      <c r="O49" s="39" t="n">
        <f aca="false">N49/'수출입 실적(신성질별)'!$D$6</f>
        <v>0.41060609674943</v>
      </c>
      <c r="P49" s="39" t="n">
        <f aca="false">IFERROR(M49/('수출입 총괄'!E13-'수출입 총괄'!E7),"-")</f>
        <v>0.62342895982209</v>
      </c>
      <c r="Q49" s="30" t="n">
        <f aca="false">MAX(D49/C49-1,E49/D49-1,F49/E49-1,G49/F49-1,H49/G49-1,I49/H49-1)</f>
        <v>0.299127450046103</v>
      </c>
      <c r="R49" s="30" t="n">
        <f aca="false">MIN(D49/C49-1,E49/D49-1,F49/E49-1,G49/F49-1,H49/G49-1,I49/H49-1)</f>
        <v>-0.0797459131080626</v>
      </c>
    </row>
    <row r="50" customFormat="false" ht="15" hidden="false" customHeight="false" outlineLevel="0" collapsed="false">
      <c r="B50" s="13" t="s">
        <v>171</v>
      </c>
      <c r="C50" s="23" t="n">
        <f aca="false">C33+C38+C45</f>
        <v>65843937</v>
      </c>
      <c r="D50" s="23" t="n">
        <f aca="false">D33+D38+D45</f>
        <v>67642547</v>
      </c>
      <c r="E50" s="23" t="n">
        <f aca="false">E33+E38+E45</f>
        <v>87333128</v>
      </c>
      <c r="F50" s="23" t="n">
        <f aca="false">F33+F38+F45</f>
        <v>85751883</v>
      </c>
      <c r="G50" s="23" t="n">
        <f aca="false">G33+G38+G45</f>
        <v>87576083</v>
      </c>
      <c r="H50" s="23" t="n">
        <f aca="false">H33+H38+H45</f>
        <v>101956159</v>
      </c>
      <c r="I50" s="23" t="n">
        <f aca="false">I33+I38+I45</f>
        <v>98959099</v>
      </c>
      <c r="J50" s="33" t="n">
        <f aca="false">I50/H50-1</f>
        <v>-0.0293955757984175</v>
      </c>
      <c r="K50" s="23" t="n">
        <f aca="false">I50-H50</f>
        <v>-2997060</v>
      </c>
      <c r="L50" s="33" t="n">
        <f aca="false">I50/C50-1</f>
        <v>0.5029341122175</v>
      </c>
      <c r="M50" s="23" t="n">
        <f aca="false">I50-C50</f>
        <v>33115162</v>
      </c>
      <c r="N50" s="23" t="n">
        <f aca="false">SUM(C50:I50)</f>
        <v>595062836</v>
      </c>
      <c r="O50" s="41" t="n">
        <f aca="false">N50/'수출입 실적(신성질별)'!$D$6</f>
        <v>1.00000000168049</v>
      </c>
      <c r="P50" s="41" t="n">
        <f aca="false">M50/('수출입 총괄'!E13-'수출입 총괄'!E7)</f>
        <v>1</v>
      </c>
    </row>
    <row r="51" customFormat="false" ht="15" hidden="false" customHeight="true" outlineLevel="0" collapsed="false">
      <c r="A51" s="12" t="s">
        <v>190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</sheetData>
  <mergeCells count="6">
    <mergeCell ref="A1:R1"/>
    <mergeCell ref="A2:R2"/>
    <mergeCell ref="A3:R3"/>
    <mergeCell ref="A5:R5"/>
    <mergeCell ref="A31:R31"/>
    <mergeCell ref="A51:R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9" min="2" style="1" width="13"/>
  </cols>
  <sheetData>
    <row r="1" customFormat="false" ht="21.75" hidden="false" customHeight="true" outlineLevel="0" collapsed="false">
      <c r="A1" s="11" t="s">
        <v>191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true" outlineLevel="0" collapsed="false">
      <c r="A2" s="12" t="s">
        <v>192</v>
      </c>
      <c r="B2" s="12"/>
      <c r="C2" s="12"/>
      <c r="D2" s="12"/>
      <c r="E2" s="12"/>
      <c r="F2" s="12"/>
      <c r="G2" s="12"/>
      <c r="H2" s="12"/>
      <c r="I2" s="12"/>
    </row>
    <row r="4" customFormat="false" ht="14.9" hidden="false" customHeight="false" outlineLevel="0" collapsed="false">
      <c r="A4" s="27" t="s">
        <v>193</v>
      </c>
      <c r="B4" s="27"/>
      <c r="C4" s="27"/>
      <c r="D4" s="27"/>
      <c r="E4" s="27"/>
      <c r="F4" s="27"/>
      <c r="G4" s="27"/>
      <c r="H4" s="27"/>
      <c r="I4" s="27"/>
    </row>
    <row r="5" customFormat="false" ht="15" hidden="false" customHeight="false" outlineLevel="0" collapsed="false">
      <c r="A5" s="17" t="s">
        <v>194</v>
      </c>
      <c r="B5" s="26" t="s">
        <v>13</v>
      </c>
      <c r="C5" s="26" t="s">
        <v>14</v>
      </c>
      <c r="D5" s="26" t="s">
        <v>15</v>
      </c>
      <c r="E5" s="26" t="s">
        <v>16</v>
      </c>
      <c r="F5" s="26" t="s">
        <v>17</v>
      </c>
      <c r="G5" s="26" t="s">
        <v>18</v>
      </c>
      <c r="H5" s="26" t="s">
        <v>19</v>
      </c>
    </row>
    <row r="6" customFormat="false" ht="15" hidden="false" customHeight="false" outlineLevel="0" collapsed="false">
      <c r="A6" s="13" t="s">
        <v>195</v>
      </c>
      <c r="B6" s="42" t="n">
        <f aca="false">분석2_월별추이!E6/분석2_월별추이!$E$6*100</f>
        <v>100</v>
      </c>
      <c r="C6" s="42" t="n">
        <f aca="false">분석2_월별추이!E7/분석2_월별추이!$E$6*100</f>
        <v>102.731625844305</v>
      </c>
      <c r="D6" s="42" t="n">
        <f aca="false">분석2_월별추이!E8/분석2_월별추이!$E$6*100</f>
        <v>132.636552398135</v>
      </c>
      <c r="E6" s="42" t="n">
        <f aca="false">분석2_월별추이!E9/분석2_월별추이!$E$6*100</f>
        <v>130.235048065246</v>
      </c>
      <c r="F6" s="42" t="n">
        <f aca="false">분석2_월별추이!E10/분석2_월별추이!$E$6*100</f>
        <v>133.005538535765</v>
      </c>
      <c r="G6" s="42" t="n">
        <f aca="false">분석2_월별추이!E11/분석2_월별추이!$E$6*100</f>
        <v>154.845174279296</v>
      </c>
      <c r="H6" s="42" t="n">
        <f aca="false">분석2_월별추이!E12/분석2_월별추이!$E$6*100</f>
        <v>150.29341122175</v>
      </c>
    </row>
    <row r="7" customFormat="false" ht="15" hidden="false" customHeight="false" outlineLevel="0" collapsed="false">
      <c r="A7" s="13" t="s">
        <v>196</v>
      </c>
      <c r="B7" s="42" t="n">
        <f aca="false">분석2_월별추이!D6/분석2_월별추이!$D$6*100</f>
        <v>100</v>
      </c>
      <c r="C7" s="42" t="n">
        <f aca="false">분석2_월별추이!D7/분석2_월별추이!$D$6*100</f>
        <v>93.1993216848621</v>
      </c>
      <c r="D7" s="42" t="n">
        <f aca="false">분석2_월별추이!D8/분석2_월별추이!$D$6*100</f>
        <v>96.6565260137788</v>
      </c>
      <c r="E7" s="42" t="n">
        <f aca="false">분석2_월별추이!D9/분석2_월별추이!$D$6*100</f>
        <v>86.1036388655883</v>
      </c>
      <c r="F7" s="42" t="n">
        <f aca="false">분석2_월별추이!D10/분석2_월별추이!$D$6*100</f>
        <v>81.1801294864253</v>
      </c>
      <c r="G7" s="42" t="n">
        <f aca="false">분석2_월별추이!D11/분석2_월별추이!$D$6*100</f>
        <v>93.7155007138075</v>
      </c>
      <c r="H7" s="42" t="n">
        <f aca="false">분석2_월별추이!D12/분석2_월별추이!$D$6*100</f>
        <v>105.500213686449</v>
      </c>
    </row>
    <row r="8" customFormat="false" ht="15" hidden="false" customHeight="false" outlineLevel="0" collapsed="false">
      <c r="A8" s="13" t="s">
        <v>197</v>
      </c>
      <c r="B8" s="42" t="n">
        <f aca="false">분석2_월별추이!M6/분석2_월별추이!$M$6*100</f>
        <v>100</v>
      </c>
      <c r="C8" s="42" t="n">
        <f aca="false">분석2_월별추이!M7/분석2_월별추이!$M$6*100</f>
        <v>110.227868601528</v>
      </c>
      <c r="D8" s="42" t="n">
        <f aca="false">분석2_월별추이!M8/분석2_월별추이!$M$6*100</f>
        <v>137.22462193523</v>
      </c>
      <c r="E8" s="42" t="n">
        <f aca="false">분석2_월별추이!M9/분석2_월별추이!$M$6*100</f>
        <v>151.25382594869</v>
      </c>
      <c r="F8" s="42" t="n">
        <f aca="false">분석2_월별추이!M10/분석2_월별추이!$M$6*100</f>
        <v>163.840017720107</v>
      </c>
      <c r="G8" s="42" t="n">
        <f aca="false">분석2_월별추이!M11/분석2_월별추이!$M$6*100</f>
        <v>165.228988907789</v>
      </c>
      <c r="H8" s="42" t="n">
        <f aca="false">분석2_월별추이!M12/분석2_월별추이!$M$6*100</f>
        <v>142.457921145476</v>
      </c>
    </row>
    <row r="9" customFormat="false" ht="15" hidden="false" customHeight="false" outlineLevel="0" collapsed="false">
      <c r="A9" s="13" t="s">
        <v>198</v>
      </c>
      <c r="B9" s="42" t="n">
        <f aca="false">분석2_월별추이!F6/분석2_월별추이!$F$6*100</f>
        <v>100</v>
      </c>
      <c r="C9" s="42" t="n">
        <f aca="false">분석2_월별추이!F7/분석2_월별추이!$F$6*100</f>
        <v>90.8833746162663</v>
      </c>
      <c r="D9" s="42" t="n">
        <f aca="false">분석2_월별추이!F8/분석2_월별추이!$F$6*100</f>
        <v>106.317392106524</v>
      </c>
      <c r="E9" s="42" t="n">
        <f aca="false">분석2_월별추이!F9/분석2_월별추이!$F$6*100</f>
        <v>108.682425282931</v>
      </c>
      <c r="F9" s="42" t="n">
        <f aca="false">분석2_월별추이!F10/분석2_월별추이!$F$6*100</f>
        <v>106.308474202012</v>
      </c>
      <c r="G9" s="42" t="n">
        <f aca="false">분석2_월별추이!F11/분석2_월별추이!$F$6*100</f>
        <v>115.589037830377</v>
      </c>
      <c r="H9" s="42" t="n">
        <f aca="false">분석2_월별추이!F12/분석2_월별추이!$F$6*100</f>
        <v>119.991792937877</v>
      </c>
    </row>
    <row r="11" customFormat="false" ht="14.9" hidden="false" customHeight="false" outlineLevel="0" collapsed="false">
      <c r="A11" s="27" t="s">
        <v>199</v>
      </c>
      <c r="B11" s="27"/>
      <c r="C11" s="27"/>
      <c r="D11" s="27"/>
      <c r="E11" s="27"/>
      <c r="F11" s="27"/>
      <c r="G11" s="27"/>
      <c r="H11" s="27"/>
      <c r="I11" s="27"/>
    </row>
    <row r="12" customFormat="false" ht="15" hidden="false" customHeight="false" outlineLevel="0" collapsed="false">
      <c r="A12" s="17" t="s">
        <v>138</v>
      </c>
      <c r="B12" s="26" t="s">
        <v>142</v>
      </c>
      <c r="C12" s="26" t="s">
        <v>141</v>
      </c>
    </row>
    <row r="13" customFormat="false" ht="15" hidden="false" customHeight="false" outlineLevel="0" collapsed="false">
      <c r="A13" s="40" t="s">
        <v>189</v>
      </c>
      <c r="B13" s="20" t="n">
        <f aca="false">분석3_품목별증감!M49</f>
        <v>20644951</v>
      </c>
      <c r="C13" s="30" t="n">
        <f aca="false">분석3_품목별증감!L49</f>
        <v>0.933460203438289</v>
      </c>
    </row>
    <row r="14" customFormat="false" ht="15" hidden="false" customHeight="false" outlineLevel="0" collapsed="false">
      <c r="A14" s="40" t="s">
        <v>188</v>
      </c>
      <c r="B14" s="20" t="n">
        <f aca="false">분석3_품목별증감!M48</f>
        <v>3235033</v>
      </c>
      <c r="C14" s="30" t="n">
        <f aca="false">분석3_품목별증감!L48</f>
        <v>0.674295332089669</v>
      </c>
    </row>
    <row r="15" customFormat="false" ht="15" hidden="false" customHeight="false" outlineLevel="0" collapsed="false">
      <c r="A15" s="40" t="s">
        <v>181</v>
      </c>
      <c r="B15" s="20" t="n">
        <f aca="false">분석3_품목별증감!M41</f>
        <v>2332453</v>
      </c>
      <c r="C15" s="30" t="n">
        <f aca="false">분석3_품목별증감!L41</f>
        <v>0.469772146351121</v>
      </c>
    </row>
    <row r="16" customFormat="false" ht="15" hidden="false" customHeight="false" outlineLevel="0" collapsed="false">
      <c r="A16" s="40" t="s">
        <v>187</v>
      </c>
      <c r="B16" s="20" t="n">
        <f aca="false">분석3_품목별증감!M47</f>
        <v>2241912</v>
      </c>
      <c r="C16" s="30" t="n">
        <f aca="false">분석3_품목별증감!L47</f>
        <v>0.27354474462339</v>
      </c>
    </row>
    <row r="17" customFormat="false" ht="15" hidden="false" customHeight="false" outlineLevel="0" collapsed="false">
      <c r="A17" s="40" t="s">
        <v>183</v>
      </c>
      <c r="B17" s="20" t="n">
        <f aca="false">분석3_품목별증감!M43</f>
        <v>1493690</v>
      </c>
      <c r="C17" s="30" t="n">
        <f aca="false">분석3_품목별증감!L43</f>
        <v>0.215104538164426</v>
      </c>
    </row>
    <row r="18" customFormat="false" ht="15" hidden="false" customHeight="false" outlineLevel="0" collapsed="false">
      <c r="A18" s="40" t="s">
        <v>186</v>
      </c>
      <c r="B18" s="20" t="n">
        <f aca="false">분석3_품목별증감!M46</f>
        <v>1336305</v>
      </c>
      <c r="C18" s="30" t="n">
        <f aca="false">분석3_품목별증감!L46</f>
        <v>0.200076958146896</v>
      </c>
    </row>
    <row r="19" customFormat="false" ht="15" hidden="false" customHeight="false" outlineLevel="0" collapsed="false">
      <c r="A19" s="40" t="s">
        <v>182</v>
      </c>
      <c r="B19" s="20" t="n">
        <f aca="false">분석3_품목별증감!M42</f>
        <v>634629</v>
      </c>
      <c r="C19" s="30" t="n">
        <f aca="false">분석3_품목별증감!L42</f>
        <v>0.181195113608656</v>
      </c>
    </row>
    <row r="20" customFormat="false" ht="15" hidden="false" customHeight="false" outlineLevel="0" collapsed="false">
      <c r="A20" s="40" t="s">
        <v>175</v>
      </c>
      <c r="B20" s="20" t="n">
        <f aca="false">분석3_품목별증감!M35</f>
        <v>555077</v>
      </c>
      <c r="C20" s="30" t="n">
        <f aca="false">분석3_품목별증감!L35</f>
        <v>0.110898734531273</v>
      </c>
    </row>
    <row r="21" customFormat="false" ht="15" hidden="false" customHeight="false" outlineLevel="0" collapsed="false">
      <c r="A21" s="40" t="s">
        <v>176</v>
      </c>
      <c r="B21" s="20" t="n">
        <f aca="false">분석3_품목별증감!M36</f>
        <v>474838</v>
      </c>
      <c r="C21" s="30" t="n">
        <f aca="false">분석3_품목별증감!L36</f>
        <v>0.281142407838201</v>
      </c>
    </row>
    <row r="22" customFormat="false" ht="15" hidden="false" customHeight="false" outlineLevel="0" collapsed="false">
      <c r="A22" s="40" t="s">
        <v>179</v>
      </c>
      <c r="B22" s="20" t="n">
        <f aca="false">분석3_품목별증감!M39</f>
        <v>66690</v>
      </c>
      <c r="C22" s="30" t="n">
        <f aca="false">분석3_품목별증감!L39</f>
        <v>0.159907350127322</v>
      </c>
    </row>
    <row r="23" customFormat="false" ht="15" hidden="false" customHeight="false" outlineLevel="0" collapsed="false">
      <c r="A23" s="40" t="s">
        <v>180</v>
      </c>
      <c r="B23" s="20" t="n">
        <f aca="false">분석3_품목별증감!M40</f>
        <v>47366</v>
      </c>
      <c r="C23" s="30" t="n">
        <f aca="false">분석3_품목별증감!L40</f>
        <v>0.0866815387684217</v>
      </c>
    </row>
    <row r="24" customFormat="false" ht="15" hidden="false" customHeight="false" outlineLevel="0" collapsed="false">
      <c r="A24" s="40" t="s">
        <v>174</v>
      </c>
      <c r="B24" s="20" t="n">
        <f aca="false">분석3_품목별증감!M34</f>
        <v>46314</v>
      </c>
      <c r="C24" s="30" t="n">
        <f aca="false">분석3_품목별증감!L34</f>
        <v>0.047527325082019</v>
      </c>
    </row>
    <row r="25" customFormat="false" ht="15" hidden="false" customHeight="false" outlineLevel="0" collapsed="false">
      <c r="A25" s="40" t="s">
        <v>184</v>
      </c>
      <c r="B25" s="20" t="n">
        <f aca="false">분석3_품목별증감!M44</f>
        <v>5032</v>
      </c>
      <c r="C25" s="30" t="n">
        <f aca="false">분석3_품목별증감!L44</f>
        <v>0.629472104078059</v>
      </c>
    </row>
    <row r="26" customFormat="false" ht="15" hidden="false" customHeight="false" outlineLevel="0" collapsed="false">
      <c r="A26" s="40" t="s">
        <v>177</v>
      </c>
      <c r="B26" s="20" t="n">
        <f aca="false">분석3_품목별증감!M37</f>
        <v>872</v>
      </c>
      <c r="C26" s="30" t="n">
        <f aca="false">분석3_품목별증감!L37</f>
        <v>0.269052761493366</v>
      </c>
    </row>
    <row r="27" customFormat="false" ht="15" hidden="false" customHeight="true" outlineLevel="0" collapsed="false">
      <c r="A27" s="12" t="s">
        <v>200</v>
      </c>
      <c r="B27" s="12"/>
      <c r="C27" s="12"/>
      <c r="D27" s="12"/>
      <c r="E27" s="12"/>
      <c r="F27" s="12"/>
      <c r="G27" s="12"/>
      <c r="H27" s="12"/>
      <c r="I27" s="12"/>
    </row>
  </sheetData>
  <mergeCells count="5">
    <mergeCell ref="A1:I1"/>
    <mergeCell ref="A2:I2"/>
    <mergeCell ref="A4:I4"/>
    <mergeCell ref="A11:I11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6" min="5" style="1" width="18"/>
    <col collapsed="false" customWidth="true" hidden="false" outlineLevel="0" max="7" min="7" style="1" width="14"/>
    <col collapsed="false" customWidth="true" hidden="false" outlineLevel="0" max="9" min="8" style="1" width="18"/>
    <col collapsed="false" customWidth="true" hidden="false" outlineLevel="0" max="10" min="10" style="1" width="14"/>
  </cols>
  <sheetData>
    <row r="1" customFormat="false" ht="21.75" hidden="false" customHeight="true" outlineLevel="0" collapsed="false">
      <c r="A1" s="11" t="s">
        <v>201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true" outlineLevel="0" collapsed="false">
      <c r="A2" s="12" t="s">
        <v>202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15" hidden="false" customHeight="true" outlineLevel="0" collapsed="false">
      <c r="A3" s="12" t="s">
        <v>203</v>
      </c>
      <c r="B3" s="12"/>
      <c r="C3" s="12"/>
      <c r="D3" s="12"/>
      <c r="E3" s="12"/>
      <c r="F3" s="12"/>
      <c r="G3" s="12"/>
      <c r="H3" s="12"/>
      <c r="I3" s="12"/>
      <c r="J3" s="12"/>
    </row>
    <row r="5" customFormat="false" ht="14.9" hidden="false" customHeight="false" outlineLevel="0" collapsed="false">
      <c r="A5" s="16" t="s">
        <v>204</v>
      </c>
      <c r="B5" s="16"/>
      <c r="C5" s="16"/>
      <c r="D5" s="16"/>
      <c r="E5" s="16"/>
      <c r="F5" s="16"/>
      <c r="G5" s="16"/>
      <c r="H5" s="16"/>
      <c r="I5" s="16"/>
      <c r="J5" s="16"/>
    </row>
    <row r="6" customFormat="false" ht="30" hidden="false" customHeight="true" outlineLevel="0" collapsed="false">
      <c r="A6" s="17" t="s">
        <v>3</v>
      </c>
      <c r="B6" s="26" t="s">
        <v>205</v>
      </c>
      <c r="C6" s="26" t="s">
        <v>206</v>
      </c>
      <c r="D6" s="17" t="s">
        <v>207</v>
      </c>
      <c r="E6" s="26" t="s">
        <v>208</v>
      </c>
      <c r="F6" s="26" t="s">
        <v>209</v>
      </c>
      <c r="G6" s="17" t="s">
        <v>207</v>
      </c>
      <c r="H6" s="26" t="s">
        <v>210</v>
      </c>
      <c r="I6" s="26" t="s">
        <v>211</v>
      </c>
      <c r="J6" s="17" t="s">
        <v>212</v>
      </c>
    </row>
    <row r="7" customFormat="false" ht="15" hidden="false" customHeight="false" outlineLevel="0" collapsed="false">
      <c r="A7" s="29" t="s">
        <v>13</v>
      </c>
      <c r="B7" s="20" t="n">
        <f aca="false">분석2_월별추이!E6</f>
        <v>65843937</v>
      </c>
      <c r="C7" s="15"/>
      <c r="D7" s="30" t="str">
        <f aca="false">IF(C7="","",B7/C7-1)</f>
        <v/>
      </c>
      <c r="E7" s="20" t="n">
        <f aca="false">분석2_월별추이!F6</f>
        <v>57143469</v>
      </c>
      <c r="F7" s="15"/>
      <c r="G7" s="30" t="str">
        <f aca="false">IF(F7="","",E7/F7-1)</f>
        <v/>
      </c>
      <c r="H7" s="20" t="n">
        <f aca="false">B7-E7</f>
        <v>8700468</v>
      </c>
      <c r="I7" s="20" t="str">
        <f aca="false">IF(OR(C7="",F7=""),"",C7-F7)</f>
        <v/>
      </c>
      <c r="J7" s="20" t="str">
        <f aca="false">IF(I7="","",H7-I7)</f>
        <v/>
      </c>
    </row>
    <row r="8" customFormat="false" ht="15" hidden="false" customHeight="false" outlineLevel="0" collapsed="false">
      <c r="A8" s="29" t="s">
        <v>14</v>
      </c>
      <c r="B8" s="20" t="n">
        <f aca="false">분석2_월별추이!E7</f>
        <v>67642547</v>
      </c>
      <c r="C8" s="15"/>
      <c r="D8" s="30" t="str">
        <f aca="false">IF(C8="","",B8/C8-1)</f>
        <v/>
      </c>
      <c r="E8" s="20" t="n">
        <f aca="false">분석2_월별추이!F7</f>
        <v>51933913</v>
      </c>
      <c r="F8" s="15"/>
      <c r="G8" s="30" t="str">
        <f aca="false">IF(F8="","",E8/F8-1)</f>
        <v/>
      </c>
      <c r="H8" s="20" t="n">
        <f aca="false">B8-E8</f>
        <v>15708634</v>
      </c>
      <c r="I8" s="20" t="str">
        <f aca="false">IF(OR(C8="",F8=""),"",C8-F8)</f>
        <v/>
      </c>
      <c r="J8" s="20" t="str">
        <f aca="false">IF(I8="","",H8-I8)</f>
        <v/>
      </c>
    </row>
    <row r="9" customFormat="false" ht="15" hidden="false" customHeight="false" outlineLevel="0" collapsed="false">
      <c r="A9" s="29" t="s">
        <v>15</v>
      </c>
      <c r="B9" s="20" t="n">
        <f aca="false">분석2_월별추이!E8</f>
        <v>87333128</v>
      </c>
      <c r="C9" s="15"/>
      <c r="D9" s="30" t="str">
        <f aca="false">IF(C9="","",B9/C9-1)</f>
        <v/>
      </c>
      <c r="E9" s="20" t="n">
        <f aca="false">분석2_월별추이!F8</f>
        <v>60753446</v>
      </c>
      <c r="F9" s="15"/>
      <c r="G9" s="30" t="str">
        <f aca="false">IF(F9="","",E9/F9-1)</f>
        <v/>
      </c>
      <c r="H9" s="20" t="n">
        <f aca="false">B9-E9</f>
        <v>26579682</v>
      </c>
      <c r="I9" s="20" t="str">
        <f aca="false">IF(OR(C9="",F9=""),"",C9-F9)</f>
        <v/>
      </c>
      <c r="J9" s="20" t="str">
        <f aca="false">IF(I9="","",H9-I9)</f>
        <v/>
      </c>
    </row>
    <row r="10" customFormat="false" ht="15" hidden="false" customHeight="false" outlineLevel="0" collapsed="false">
      <c r="A10" s="29" t="s">
        <v>16</v>
      </c>
      <c r="B10" s="20" t="n">
        <f aca="false">분석2_월별추이!E9</f>
        <v>85751883</v>
      </c>
      <c r="C10" s="15"/>
      <c r="D10" s="30" t="str">
        <f aca="false">IF(C10="","",B10/C10-1)</f>
        <v/>
      </c>
      <c r="E10" s="20" t="n">
        <f aca="false">분석2_월별추이!F9</f>
        <v>62104908</v>
      </c>
      <c r="F10" s="15"/>
      <c r="G10" s="30" t="str">
        <f aca="false">IF(F10="","",E10/F10-1)</f>
        <v/>
      </c>
      <c r="H10" s="20" t="n">
        <f aca="false">B10-E10</f>
        <v>23646975</v>
      </c>
      <c r="I10" s="20" t="str">
        <f aca="false">IF(OR(C10="",F10=""),"",C10-F10)</f>
        <v/>
      </c>
      <c r="J10" s="20" t="str">
        <f aca="false">IF(I10="","",H10-I10)</f>
        <v/>
      </c>
    </row>
    <row r="11" customFormat="false" ht="15" hidden="false" customHeight="false" outlineLevel="0" collapsed="false">
      <c r="A11" s="29" t="s">
        <v>17</v>
      </c>
      <c r="B11" s="20" t="n">
        <f aca="false">분석2_월별추이!E10</f>
        <v>87576083</v>
      </c>
      <c r="C11" s="15"/>
      <c r="D11" s="30" t="str">
        <f aca="false">IF(C11="","",B11/C11-1)</f>
        <v/>
      </c>
      <c r="E11" s="20" t="n">
        <f aca="false">분석2_월별추이!F10</f>
        <v>60748350</v>
      </c>
      <c r="F11" s="15"/>
      <c r="G11" s="30" t="str">
        <f aca="false">IF(F11="","",E11/F11-1)</f>
        <v/>
      </c>
      <c r="H11" s="20" t="n">
        <f aca="false">B11-E11</f>
        <v>26827733</v>
      </c>
      <c r="I11" s="20" t="str">
        <f aca="false">IF(OR(C11="",F11=""),"",C11-F11)</f>
        <v/>
      </c>
      <c r="J11" s="20" t="str">
        <f aca="false">IF(I11="","",H11-I11)</f>
        <v/>
      </c>
    </row>
    <row r="12" customFormat="false" ht="15" hidden="false" customHeight="false" outlineLevel="0" collapsed="false">
      <c r="A12" s="29" t="s">
        <v>18</v>
      </c>
      <c r="B12" s="20" t="n">
        <f aca="false">분석2_월별추이!E11</f>
        <v>101956159</v>
      </c>
      <c r="C12" s="15"/>
      <c r="D12" s="30" t="str">
        <f aca="false">IF(C12="","",B12/C12-1)</f>
        <v/>
      </c>
      <c r="E12" s="20" t="n">
        <f aca="false">분석2_월별추이!F11</f>
        <v>66051586</v>
      </c>
      <c r="F12" s="15"/>
      <c r="G12" s="30" t="str">
        <f aca="false">IF(F12="","",E12/F12-1)</f>
        <v/>
      </c>
      <c r="H12" s="20" t="n">
        <f aca="false">B12-E12</f>
        <v>35904573</v>
      </c>
      <c r="I12" s="20" t="str">
        <f aca="false">IF(OR(C12="",F12=""),"",C12-F12)</f>
        <v/>
      </c>
      <c r="J12" s="20" t="str">
        <f aca="false">IF(I12="","",H12-I12)</f>
        <v/>
      </c>
    </row>
    <row r="13" customFormat="false" ht="15" hidden="false" customHeight="false" outlineLevel="0" collapsed="false">
      <c r="A13" s="29" t="s">
        <v>19</v>
      </c>
      <c r="B13" s="20" t="n">
        <f aca="false">분석2_월별추이!E12</f>
        <v>98959099</v>
      </c>
      <c r="C13" s="15"/>
      <c r="D13" s="30" t="str">
        <f aca="false">IF(C13="","",B13/C13-1)</f>
        <v/>
      </c>
      <c r="E13" s="20" t="n">
        <f aca="false">분석2_월별추이!F12</f>
        <v>68567473</v>
      </c>
      <c r="F13" s="15"/>
      <c r="G13" s="30" t="str">
        <f aca="false">IF(F13="","",E13/F13-1)</f>
        <v/>
      </c>
      <c r="H13" s="20" t="n">
        <f aca="false">B13-E13</f>
        <v>30391626</v>
      </c>
      <c r="I13" s="20" t="str">
        <f aca="false">IF(OR(C13="",F13=""),"",C13-F13)</f>
        <v/>
      </c>
      <c r="J13" s="20" t="str">
        <f aca="false">IF(I13="","",H13-I13)</f>
        <v/>
      </c>
    </row>
    <row r="14" customFormat="false" ht="15" hidden="false" customHeight="false" outlineLevel="0" collapsed="false">
      <c r="A14" s="29" t="s">
        <v>92</v>
      </c>
      <c r="B14" s="23" t="n">
        <f aca="false">SUM(B7:B13)</f>
        <v>595062836</v>
      </c>
      <c r="C14" s="23" t="n">
        <f aca="false">SUM(C7:C13)</f>
        <v>0</v>
      </c>
      <c r="D14" s="33" t="str">
        <f aca="false">IF(C14=0,"",B14/C14-1)</f>
        <v/>
      </c>
      <c r="E14" s="23" t="n">
        <f aca="false">SUM(E7:E13)</f>
        <v>427303145</v>
      </c>
      <c r="F14" s="23" t="n">
        <f aca="false">SUM(F7:F13)</f>
        <v>0</v>
      </c>
      <c r="G14" s="33" t="str">
        <f aca="false">IF(F14=0,"",E14/F14-1)</f>
        <v/>
      </c>
      <c r="H14" s="23" t="n">
        <f aca="false">SUM(H7:H13)</f>
        <v>167759691</v>
      </c>
      <c r="I14" s="23" t="n">
        <f aca="false">SUM(I7:I13)</f>
        <v>0</v>
      </c>
      <c r="J14" s="23" t="str">
        <f aca="false">IF(I14=0,"",H14-I14)</f>
        <v/>
      </c>
    </row>
    <row r="16" customFormat="false" ht="14.9" hidden="false" customHeight="false" outlineLevel="0" collapsed="false">
      <c r="A16" s="16" t="s">
        <v>213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5" hidden="false" customHeight="false" outlineLevel="0" collapsed="false">
      <c r="A17" s="17" t="s">
        <v>108</v>
      </c>
      <c r="B17" s="17" t="s">
        <v>138</v>
      </c>
      <c r="C17" s="26" t="s">
        <v>214</v>
      </c>
      <c r="D17" s="26" t="s">
        <v>215</v>
      </c>
      <c r="E17" s="17" t="s">
        <v>216</v>
      </c>
      <c r="F17" s="17" t="s">
        <v>217</v>
      </c>
    </row>
    <row r="18" customFormat="false" ht="15" hidden="false" customHeight="false" outlineLevel="0" collapsed="false">
      <c r="A18" s="19" t="s">
        <v>218</v>
      </c>
      <c r="B18" s="22" t="s">
        <v>149</v>
      </c>
      <c r="C18" s="20" t="n">
        <f aca="false">분석3_품목별증감!N7</f>
        <v>7616565</v>
      </c>
      <c r="D18" s="15"/>
      <c r="E18" s="30" t="str">
        <f aca="false">IF(D18="","",C18/D18-1)</f>
        <v/>
      </c>
      <c r="F18" s="20" t="str">
        <f aca="false">IF(D18="","",C18-D18)</f>
        <v/>
      </c>
    </row>
    <row r="19" customFormat="false" ht="15" hidden="false" customHeight="false" outlineLevel="0" collapsed="false">
      <c r="A19" s="19" t="s">
        <v>218</v>
      </c>
      <c r="B19" s="22" t="s">
        <v>150</v>
      </c>
      <c r="C19" s="20" t="n">
        <f aca="false">분석3_품목별증감!N8</f>
        <v>43087971</v>
      </c>
      <c r="D19" s="15"/>
      <c r="E19" s="30" t="str">
        <f aca="false">IF(D19="","",C19/D19-1)</f>
        <v/>
      </c>
      <c r="F19" s="20" t="str">
        <f aca="false">IF(D19="","",C19-D19)</f>
        <v/>
      </c>
    </row>
    <row r="20" customFormat="false" ht="15" hidden="false" customHeight="false" outlineLevel="0" collapsed="false">
      <c r="A20" s="19" t="s">
        <v>218</v>
      </c>
      <c r="B20" s="22" t="s">
        <v>151</v>
      </c>
      <c r="C20" s="20" t="n">
        <f aca="false">분석3_품목별증감!N9</f>
        <v>25893137</v>
      </c>
      <c r="D20" s="15"/>
      <c r="E20" s="30" t="str">
        <f aca="false">IF(D20="","",C20/D20-1)</f>
        <v/>
      </c>
      <c r="F20" s="20" t="str">
        <f aca="false">IF(D20="","",C20-D20)</f>
        <v/>
      </c>
    </row>
    <row r="21" customFormat="false" ht="15" hidden="false" customHeight="false" outlineLevel="0" collapsed="false">
      <c r="A21" s="19" t="s">
        <v>218</v>
      </c>
      <c r="B21" s="22" t="s">
        <v>164</v>
      </c>
      <c r="C21" s="20" t="n">
        <f aca="false">분석3_품목별증감!N21</f>
        <v>518465164</v>
      </c>
      <c r="D21" s="15"/>
      <c r="E21" s="30" t="str">
        <f aca="false">IF(D21="","",C21/D21-1)</f>
        <v/>
      </c>
      <c r="F21" s="20" t="str">
        <f aca="false">IF(D21="","",C21-D21)</f>
        <v/>
      </c>
    </row>
    <row r="22" customFormat="false" ht="15" hidden="false" customHeight="false" outlineLevel="0" collapsed="false">
      <c r="A22" s="19" t="s">
        <v>219</v>
      </c>
      <c r="B22" s="22" t="s">
        <v>173</v>
      </c>
      <c r="C22" s="20" t="n">
        <f aca="false">분석3_품목별증감!N33</f>
        <v>56695222</v>
      </c>
      <c r="D22" s="15"/>
      <c r="E22" s="30" t="str">
        <f aca="false">IF(D22="","",C22/D22-1)</f>
        <v/>
      </c>
      <c r="F22" s="20" t="str">
        <f aca="false">IF(D22="","",C22-D22)</f>
        <v/>
      </c>
    </row>
    <row r="23" customFormat="false" ht="15" hidden="false" customHeight="false" outlineLevel="0" collapsed="false">
      <c r="A23" s="19" t="s">
        <v>219</v>
      </c>
      <c r="B23" s="22" t="s">
        <v>178</v>
      </c>
      <c r="C23" s="20" t="n">
        <f aca="false">분석3_품목별증감!N38</f>
        <v>134709052</v>
      </c>
      <c r="D23" s="15"/>
      <c r="E23" s="30" t="str">
        <f aca="false">IF(D23="","",C23/D23-1)</f>
        <v/>
      </c>
      <c r="F23" s="20" t="str">
        <f aca="false">IF(D23="","",C23-D23)</f>
        <v/>
      </c>
    </row>
    <row r="24" customFormat="false" ht="15" hidden="false" customHeight="false" outlineLevel="0" collapsed="false">
      <c r="A24" s="19" t="s">
        <v>219</v>
      </c>
      <c r="B24" s="22" t="s">
        <v>185</v>
      </c>
      <c r="C24" s="20" t="n">
        <f aca="false">분석3_품목별증감!N45</f>
        <v>403658562</v>
      </c>
      <c r="D24" s="15"/>
      <c r="E24" s="30" t="str">
        <f aca="false">IF(D24="","",C24/D24-1)</f>
        <v/>
      </c>
      <c r="F24" s="20" t="str">
        <f aca="false">IF(D24="","",C24-D24)</f>
        <v/>
      </c>
    </row>
    <row r="25" customFormat="false" ht="15" hidden="false" customHeight="true" outlineLevel="0" collapsed="false">
      <c r="A25" s="12" t="s">
        <v>220</v>
      </c>
      <c r="B25" s="12"/>
      <c r="C25" s="12"/>
      <c r="D25" s="12"/>
      <c r="E25" s="12"/>
      <c r="F25" s="12"/>
      <c r="G25" s="12"/>
      <c r="H25" s="12"/>
      <c r="I25" s="12"/>
      <c r="J25" s="12"/>
    </row>
    <row r="27" customFormat="false" ht="14.9" hidden="false" customHeight="false" outlineLevel="0" collapsed="false">
      <c r="A27" s="16" t="s">
        <v>221</v>
      </c>
      <c r="B27" s="16"/>
      <c r="C27" s="16"/>
      <c r="D27" s="16"/>
      <c r="E27" s="16"/>
      <c r="F27" s="16"/>
      <c r="G27" s="16"/>
      <c r="H27" s="16"/>
      <c r="I27" s="16"/>
      <c r="J27" s="16"/>
    </row>
    <row r="28" customFormat="false" ht="14.15" hidden="false" customHeight="false" outlineLevel="0" collapsed="false">
      <c r="A28" s="13" t="s">
        <v>222</v>
      </c>
      <c r="B28" s="43" t="s">
        <v>223</v>
      </c>
      <c r="C28" s="43"/>
      <c r="D28" s="43"/>
      <c r="E28" s="43"/>
      <c r="F28" s="43"/>
      <c r="G28" s="43"/>
      <c r="H28" s="43"/>
      <c r="I28" s="43"/>
      <c r="J28" s="43"/>
    </row>
    <row r="29" customFormat="false" ht="15" hidden="false" customHeight="false" outlineLevel="0" collapsed="false">
      <c r="A29" s="13" t="s">
        <v>224</v>
      </c>
      <c r="B29" s="43" t="s">
        <v>225</v>
      </c>
      <c r="C29" s="43"/>
      <c r="D29" s="43"/>
      <c r="E29" s="43"/>
      <c r="F29" s="43"/>
      <c r="G29" s="43"/>
      <c r="H29" s="43"/>
      <c r="I29" s="43"/>
      <c r="J29" s="43"/>
    </row>
    <row r="30" customFormat="false" ht="14.15" hidden="false" customHeight="false" outlineLevel="0" collapsed="false">
      <c r="A30" s="13" t="s">
        <v>226</v>
      </c>
      <c r="B30" s="43" t="s">
        <v>227</v>
      </c>
      <c r="C30" s="43"/>
      <c r="D30" s="43"/>
      <c r="E30" s="43"/>
      <c r="F30" s="43"/>
      <c r="G30" s="43"/>
      <c r="H30" s="43"/>
      <c r="I30" s="43"/>
      <c r="J30" s="43"/>
    </row>
    <row r="31" customFormat="false" ht="15" hidden="false" customHeight="false" outlineLevel="0" collapsed="false">
      <c r="A31" s="13" t="s">
        <v>228</v>
      </c>
      <c r="B31" s="43" t="s">
        <v>229</v>
      </c>
      <c r="C31" s="43"/>
      <c r="D31" s="43"/>
      <c r="E31" s="43"/>
      <c r="F31" s="43"/>
      <c r="G31" s="43"/>
      <c r="H31" s="43"/>
      <c r="I31" s="43"/>
      <c r="J31" s="43"/>
    </row>
  </sheetData>
  <mergeCells count="11">
    <mergeCell ref="A1:J1"/>
    <mergeCell ref="A2:J2"/>
    <mergeCell ref="A3:J3"/>
    <mergeCell ref="A5:J5"/>
    <mergeCell ref="A16:J16"/>
    <mergeCell ref="A25:J25"/>
    <mergeCell ref="A27:J27"/>
    <mergeCell ref="B28:J28"/>
    <mergeCell ref="B29:J29"/>
    <mergeCell ref="B30:J30"/>
    <mergeCell ref="B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21.75" hidden="false" customHeight="true" outlineLevel="0" collapsed="false">
      <c r="A1" s="11" t="s">
        <v>230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true" outlineLevel="0" collapsed="false">
      <c r="A2" s="12" t="s">
        <v>231</v>
      </c>
      <c r="B2" s="12"/>
      <c r="C2" s="12"/>
      <c r="D2" s="12"/>
      <c r="E2" s="12"/>
      <c r="F2" s="12"/>
      <c r="G2" s="12"/>
      <c r="H2" s="12"/>
      <c r="I2" s="12"/>
    </row>
    <row r="4" customFormat="false" ht="14.9" hidden="false" customHeight="false" outlineLevel="0" collapsed="false">
      <c r="A4" s="16" t="s">
        <v>232</v>
      </c>
      <c r="B4" s="16"/>
      <c r="C4" s="16"/>
      <c r="D4" s="16"/>
      <c r="E4" s="16"/>
      <c r="F4" s="16"/>
      <c r="G4" s="16"/>
      <c r="H4" s="16"/>
      <c r="I4" s="16"/>
    </row>
    <row r="5" customFormat="false" ht="15" hidden="false" customHeight="false" outlineLevel="0" collapsed="false">
      <c r="A5" s="17" t="s">
        <v>194</v>
      </c>
      <c r="B5" s="26" t="s">
        <v>13</v>
      </c>
      <c r="C5" s="26" t="s">
        <v>19</v>
      </c>
      <c r="D5" s="17" t="s">
        <v>233</v>
      </c>
      <c r="E5" s="26" t="s">
        <v>143</v>
      </c>
      <c r="F5" s="26" t="s">
        <v>234</v>
      </c>
    </row>
    <row r="6" customFormat="false" ht="15" hidden="false" customHeight="false" outlineLevel="0" collapsed="false">
      <c r="A6" s="13" t="s">
        <v>7</v>
      </c>
      <c r="B6" s="20" t="n">
        <f aca="false">분석2_월별추이!E6</f>
        <v>65843937</v>
      </c>
      <c r="C6" s="20" t="n">
        <f aca="false">분석2_월별추이!E12</f>
        <v>98959099</v>
      </c>
      <c r="D6" s="20" t="n">
        <f aca="false">MAX(분석2_월별추이!E6:E12)</f>
        <v>101956159</v>
      </c>
      <c r="E6" s="20" t="n">
        <f aca="false">분석2_월별추이!E13</f>
        <v>595062836</v>
      </c>
      <c r="F6" s="30" t="n">
        <f aca="false">C6/B6-1</f>
        <v>0.5029341122175</v>
      </c>
    </row>
    <row r="7" customFormat="false" ht="15" hidden="false" customHeight="false" outlineLevel="0" collapsed="false">
      <c r="A7" s="13" t="s">
        <v>235</v>
      </c>
      <c r="B7" s="20" t="n">
        <f aca="false">분석2_월별추이!F6</f>
        <v>57143469</v>
      </c>
      <c r="C7" s="20" t="n">
        <f aca="false">분석2_월별추이!F12</f>
        <v>68567473</v>
      </c>
      <c r="D7" s="20" t="n">
        <f aca="false">MAX(분석2_월별추이!F6:F12)</f>
        <v>68567473</v>
      </c>
      <c r="E7" s="20" t="n">
        <f aca="false">분석2_월별추이!F13</f>
        <v>427303145</v>
      </c>
      <c r="F7" s="30" t="n">
        <f aca="false">C7/B7-1</f>
        <v>0.199917929378771</v>
      </c>
    </row>
    <row r="8" customFormat="false" ht="15" hidden="false" customHeight="false" outlineLevel="0" collapsed="false">
      <c r="A8" s="13" t="s">
        <v>11</v>
      </c>
      <c r="B8" s="20" t="n">
        <f aca="false">분석2_월별추이!G6</f>
        <v>8700468</v>
      </c>
      <c r="C8" s="20" t="n">
        <f aca="false">분석2_월별추이!G12</f>
        <v>30391625</v>
      </c>
      <c r="D8" s="20" t="n">
        <f aca="false">MAX(분석2_월별추이!G6:G12)</f>
        <v>35904573</v>
      </c>
      <c r="E8" s="20" t="n">
        <f aca="false">분석2_월별추이!G13</f>
        <v>167759690</v>
      </c>
      <c r="F8" s="30" t="n">
        <f aca="false">C8/B8-1</f>
        <v>2.49310232507033</v>
      </c>
    </row>
    <row r="9" customFormat="false" ht="15" hidden="false" customHeight="false" outlineLevel="0" collapsed="false">
      <c r="A9" s="13" t="s">
        <v>78</v>
      </c>
      <c r="B9" s="18" t="n">
        <f aca="false">분석2_월별추이!D6</f>
        <v>16739947.8</v>
      </c>
      <c r="C9" s="18" t="n">
        <f aca="false">분석2_월별추이!D12</f>
        <v>17660680.7</v>
      </c>
      <c r="D9" s="18" t="n">
        <f aca="false">MAX(분석2_월별추이!D6:D12)</f>
        <v>17660680.7</v>
      </c>
      <c r="E9" s="18" t="n">
        <f aca="false">분석2_월별추이!D13</f>
        <v>109873539.7</v>
      </c>
      <c r="F9" s="30" t="n">
        <f aca="false">C9/B9-1</f>
        <v>0.0550021368644889</v>
      </c>
    </row>
    <row r="10" customFormat="false" ht="15" hidden="false" customHeight="false" outlineLevel="0" collapsed="false">
      <c r="A10" s="13" t="s">
        <v>236</v>
      </c>
      <c r="B10" s="31" t="n">
        <f aca="false">분석2_월별추이!M6</f>
        <v>3.93334183515196</v>
      </c>
      <c r="C10" s="31" t="n">
        <f aca="false">분석2_월별추이!M12</f>
        <v>5.6033570099028</v>
      </c>
      <c r="D10" s="31" t="n">
        <f aca="false">MAX(분석2_월별추이!M6:M12)</f>
        <v>6.49902094450867</v>
      </c>
      <c r="E10" s="31" t="n">
        <f aca="false">분석2_월별추이!M13</f>
        <v>5.41588846254309</v>
      </c>
      <c r="F10" s="30" t="n">
        <f aca="false">C10/B10-1</f>
        <v>0.42457921145476</v>
      </c>
    </row>
    <row r="11" customFormat="false" ht="15" hidden="false" customHeight="false" outlineLevel="0" collapsed="false">
      <c r="A11" s="13" t="s">
        <v>237</v>
      </c>
      <c r="B11" s="31" t="n">
        <f aca="false">분석2_월별추이!N6</f>
        <v>1.14252396529967</v>
      </c>
      <c r="C11" s="31" t="n">
        <f aca="false">분석2_월별추이!N12</f>
        <v>1.34067020127308</v>
      </c>
      <c r="D11" s="31" t="n">
        <f aca="false">MAX(분석2_월별추이!N6:N12)</f>
        <v>1.52912533912799</v>
      </c>
      <c r="E11" s="31" t="n">
        <f aca="false">분석2_월별추이!N13</f>
        <v>1.36151858172179</v>
      </c>
      <c r="F11" s="30" t="n">
        <f aca="false">C11/B11-1</f>
        <v>0.173428516154972</v>
      </c>
    </row>
    <row r="12" customFormat="false" ht="15" hidden="false" customHeight="false" outlineLevel="0" collapsed="false">
      <c r="A12" s="13" t="s">
        <v>129</v>
      </c>
      <c r="B12" s="32" t="n">
        <f aca="false">분석2_월별추이!O6</f>
        <v>3.44267775085164</v>
      </c>
      <c r="C12" s="32" t="n">
        <f aca="false">분석2_월별추이!O12</f>
        <v>4.17951932144231</v>
      </c>
      <c r="D12" s="32" t="n">
        <f aca="false">MAX(분석2_월별추이!O6:O12)</f>
        <v>4.29870268798303</v>
      </c>
      <c r="E12" s="32" t="n">
        <f aca="false">분석2_월별추이!O13</f>
        <v>3.97782926744496</v>
      </c>
      <c r="F12" s="30" t="n">
        <f aca="false">C12/B12-1</f>
        <v>0.214031525433475</v>
      </c>
    </row>
    <row r="13" customFormat="false" ht="15" hidden="false" customHeight="false" outlineLevel="0" collapsed="false">
      <c r="A13" s="13" t="s">
        <v>238</v>
      </c>
      <c r="B13" s="20" t="n">
        <f aca="false">분석2_월별추이!K6</f>
        <v>2801869.65957447</v>
      </c>
      <c r="C13" s="20" t="n">
        <f aca="false">분석2_월별추이!K12</f>
        <v>4123295.79166667</v>
      </c>
      <c r="D13" s="20" t="n">
        <f aca="false">MAX(분석2_월별추이!K6:K12)</f>
        <v>4531384.84444444</v>
      </c>
      <c r="E13" s="20" t="n">
        <f aca="false">분석2_월별추이!K13</f>
        <v>3802318.44089457</v>
      </c>
      <c r="F13" s="30" t="n">
        <f aca="false">C13/B13-1</f>
        <v>0.471622984879635</v>
      </c>
    </row>
    <row r="15" customFormat="false" ht="14.9" hidden="false" customHeight="false" outlineLevel="0" collapsed="false">
      <c r="A15" s="16" t="s">
        <v>239</v>
      </c>
      <c r="B15" s="16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17" t="s">
        <v>240</v>
      </c>
      <c r="B16" s="26" t="s">
        <v>241</v>
      </c>
      <c r="C16" s="26" t="s">
        <v>242</v>
      </c>
      <c r="D16" s="17" t="s">
        <v>217</v>
      </c>
      <c r="E16" s="17" t="s">
        <v>243</v>
      </c>
      <c r="F16" s="17" t="s">
        <v>244</v>
      </c>
    </row>
    <row r="17" customFormat="false" ht="15" hidden="false" customHeight="false" outlineLevel="0" collapsed="false">
      <c r="A17" s="13" t="s">
        <v>245</v>
      </c>
      <c r="B17" s="20" t="n">
        <f aca="false">분석3_품목별증감!C49</f>
        <v>22116584</v>
      </c>
      <c r="C17" s="20" t="n">
        <f aca="false">분석3_품목별증감!I49</f>
        <v>42761535</v>
      </c>
      <c r="D17" s="20" t="n">
        <f aca="false">분석3_품목별증감!M49</f>
        <v>20644951</v>
      </c>
      <c r="E17" s="30" t="n">
        <f aca="false">분석3_품목별증감!L49</f>
        <v>0.933460203438289</v>
      </c>
      <c r="F17" s="39" t="n">
        <f aca="false">분석3_품목별증감!P49</f>
        <v>0.62342895982209</v>
      </c>
    </row>
    <row r="18" customFormat="false" ht="15" hidden="false" customHeight="false" outlineLevel="0" collapsed="false">
      <c r="A18" s="13" t="s">
        <v>246</v>
      </c>
      <c r="B18" s="20" t="n">
        <f aca="false">분석3_품목별증감!C48</f>
        <v>4797650</v>
      </c>
      <c r="C18" s="20" t="n">
        <f aca="false">분석3_품목별증감!I48</f>
        <v>8032683</v>
      </c>
      <c r="D18" s="20" t="n">
        <f aca="false">분석3_품목별증감!M48</f>
        <v>3235033</v>
      </c>
      <c r="E18" s="30" t="n">
        <f aca="false">분석3_품목별증감!L48</f>
        <v>0.674295332089669</v>
      </c>
      <c r="F18" s="39" t="n">
        <f aca="false">분석3_품목별증감!P48</f>
        <v>0.0976903872612793</v>
      </c>
    </row>
    <row r="19" customFormat="false" ht="15" hidden="false" customHeight="false" outlineLevel="0" collapsed="false">
      <c r="A19" s="13" t="s">
        <v>247</v>
      </c>
      <c r="B19" s="20" t="n">
        <f aca="false">분석3_품목별증감!C41</f>
        <v>4965073</v>
      </c>
      <c r="C19" s="20" t="n">
        <f aca="false">분석3_품목별증감!I41</f>
        <v>7297526</v>
      </c>
      <c r="D19" s="20" t="n">
        <f aca="false">분석3_품목별증감!M41</f>
        <v>2332453</v>
      </c>
      <c r="E19" s="30" t="n">
        <f aca="false">분석3_품목별증감!L41</f>
        <v>0.469772146351121</v>
      </c>
      <c r="F19" s="39" t="n">
        <f aca="false">분석3_품목별증감!P41</f>
        <v>0.0704345942804085</v>
      </c>
    </row>
    <row r="20" customFormat="false" ht="15" hidden="false" customHeight="false" outlineLevel="0" collapsed="false">
      <c r="A20" s="13" t="s">
        <v>248</v>
      </c>
      <c r="B20" s="20" t="n">
        <f aca="false">분석3_품목별증감!C47</f>
        <v>8195778</v>
      </c>
      <c r="C20" s="20" t="n">
        <f aca="false">분석3_품목별증감!I47</f>
        <v>10437690</v>
      </c>
      <c r="D20" s="20" t="n">
        <f aca="false">분석3_품목별증감!M47</f>
        <v>2241912</v>
      </c>
      <c r="E20" s="30" t="n">
        <f aca="false">분석3_품목별증감!L47</f>
        <v>0.27354474462339</v>
      </c>
      <c r="F20" s="39" t="n">
        <f aca="false">분석3_품목별증감!P47</f>
        <v>0.0677004690479847</v>
      </c>
    </row>
    <row r="21" customFormat="false" ht="15" hidden="false" customHeight="false" outlineLevel="0" collapsed="false">
      <c r="A21" s="13" t="s">
        <v>249</v>
      </c>
      <c r="B21" s="20" t="n">
        <f aca="false">분석3_품목별증감!C43</f>
        <v>6944019</v>
      </c>
      <c r="C21" s="20" t="n">
        <f aca="false">분석3_품목별증감!I43</f>
        <v>8437709</v>
      </c>
      <c r="D21" s="20" t="n">
        <f aca="false">분석3_품목별증감!M43</f>
        <v>1493690</v>
      </c>
      <c r="E21" s="30" t="n">
        <f aca="false">분석3_품목별증감!L43</f>
        <v>0.215104538164426</v>
      </c>
      <c r="F21" s="39" t="n">
        <f aca="false">분석3_품목별증감!P43</f>
        <v>0.0451059245912794</v>
      </c>
    </row>
    <row r="22" customFormat="false" ht="15" hidden="false" customHeight="false" outlineLevel="0" collapsed="false">
      <c r="A22" s="13" t="s">
        <v>250</v>
      </c>
      <c r="B22" s="20" t="n">
        <f aca="false">분석3_품목별증감!C46</f>
        <v>6678955</v>
      </c>
      <c r="C22" s="20" t="n">
        <f aca="false">분석3_품목별증감!I46</f>
        <v>8015260</v>
      </c>
      <c r="D22" s="20" t="n">
        <f aca="false">분석3_품목별증감!M46</f>
        <v>1336305</v>
      </c>
      <c r="E22" s="30" t="n">
        <f aca="false">분석3_품목별증감!L46</f>
        <v>0.200076958146896</v>
      </c>
      <c r="F22" s="39" t="n">
        <f aca="false">분석3_품목별증감!P46</f>
        <v>0.0403532677871242</v>
      </c>
    </row>
    <row r="24" customFormat="false" ht="14.9" hidden="false" customHeight="false" outlineLevel="0" collapsed="false">
      <c r="A24" s="16" t="s">
        <v>251</v>
      </c>
      <c r="B24" s="16"/>
      <c r="C24" s="16"/>
      <c r="D24" s="16"/>
      <c r="E24" s="16"/>
      <c r="F24" s="16"/>
      <c r="G24" s="16"/>
      <c r="H24" s="16"/>
      <c r="I24" s="16"/>
    </row>
    <row r="25" customFormat="false" ht="30" hidden="false" customHeight="true" outlineLevel="0" collapsed="false">
      <c r="A25" s="44" t="s">
        <v>252</v>
      </c>
      <c r="B25" s="44"/>
      <c r="C25" s="44"/>
      <c r="D25" s="44"/>
      <c r="E25" s="44"/>
      <c r="F25" s="44"/>
      <c r="G25" s="44"/>
      <c r="H25" s="44"/>
      <c r="I25" s="44"/>
    </row>
    <row r="26" customFormat="false" ht="30" hidden="false" customHeight="true" outlineLevel="0" collapsed="false">
      <c r="A26" s="44" t="s">
        <v>253</v>
      </c>
      <c r="B26" s="44"/>
      <c r="C26" s="44"/>
      <c r="D26" s="44"/>
      <c r="E26" s="44"/>
      <c r="F26" s="44"/>
      <c r="G26" s="44"/>
      <c r="H26" s="44"/>
      <c r="I26" s="44"/>
    </row>
    <row r="27" customFormat="false" ht="30" hidden="false" customHeight="true" outlineLevel="0" collapsed="false">
      <c r="A27" s="44" t="s">
        <v>254</v>
      </c>
      <c r="B27" s="44"/>
      <c r="C27" s="44"/>
      <c r="D27" s="44"/>
      <c r="E27" s="44"/>
      <c r="F27" s="44"/>
      <c r="G27" s="44"/>
      <c r="H27" s="44"/>
      <c r="I27" s="44"/>
    </row>
    <row r="29" customFormat="false" ht="14.9" hidden="false" customHeight="false" outlineLevel="0" collapsed="false">
      <c r="A29" s="16" t="s">
        <v>255</v>
      </c>
      <c r="B29" s="16"/>
      <c r="C29" s="16"/>
      <c r="D29" s="16"/>
      <c r="E29" s="16"/>
      <c r="F29" s="16"/>
      <c r="G29" s="16"/>
      <c r="H29" s="16"/>
      <c r="I29" s="16"/>
    </row>
    <row r="30" customFormat="false" ht="45" hidden="false" customHeight="true" outlineLevel="0" collapsed="false">
      <c r="A30" s="44" t="s">
        <v>256</v>
      </c>
      <c r="B30" s="44"/>
      <c r="C30" s="44"/>
      <c r="D30" s="44"/>
      <c r="E30" s="44"/>
      <c r="F30" s="44"/>
      <c r="G30" s="44"/>
      <c r="H30" s="44"/>
      <c r="I30" s="44"/>
    </row>
    <row r="31" customFormat="false" ht="45" hidden="false" customHeight="true" outlineLevel="0" collapsed="false">
      <c r="A31" s="44" t="s">
        <v>257</v>
      </c>
      <c r="B31" s="44"/>
      <c r="C31" s="44"/>
      <c r="D31" s="44"/>
      <c r="E31" s="44"/>
      <c r="F31" s="44"/>
      <c r="G31" s="44"/>
      <c r="H31" s="44"/>
      <c r="I31" s="44"/>
    </row>
    <row r="32" customFormat="false" ht="45" hidden="false" customHeight="true" outlineLevel="0" collapsed="false">
      <c r="A32" s="44" t="s">
        <v>258</v>
      </c>
      <c r="B32" s="44"/>
      <c r="C32" s="44"/>
      <c r="D32" s="44"/>
      <c r="E32" s="44"/>
      <c r="F32" s="44"/>
      <c r="G32" s="44"/>
      <c r="H32" s="44"/>
      <c r="I32" s="44"/>
    </row>
    <row r="33" customFormat="false" ht="30" hidden="false" customHeight="true" outlineLevel="0" collapsed="false">
      <c r="A33" s="44" t="s">
        <v>259</v>
      </c>
      <c r="B33" s="44"/>
      <c r="C33" s="44"/>
      <c r="D33" s="44"/>
      <c r="E33" s="44"/>
      <c r="F33" s="44"/>
      <c r="G33" s="44"/>
      <c r="H33" s="44"/>
      <c r="I33" s="44"/>
    </row>
    <row r="35" customFormat="false" ht="14.9" hidden="false" customHeight="false" outlineLevel="0" collapsed="false">
      <c r="A35" s="16" t="s">
        <v>260</v>
      </c>
      <c r="B35" s="16"/>
      <c r="C35" s="16"/>
      <c r="D35" s="16"/>
      <c r="E35" s="16"/>
      <c r="F35" s="16"/>
      <c r="G35" s="16"/>
      <c r="H35" s="16"/>
      <c r="I35" s="16"/>
    </row>
    <row r="36" customFormat="false" ht="30" hidden="false" customHeight="true" outlineLevel="0" collapsed="false">
      <c r="A36" s="44" t="s">
        <v>261</v>
      </c>
      <c r="B36" s="44"/>
      <c r="C36" s="44"/>
      <c r="D36" s="44"/>
      <c r="E36" s="44"/>
      <c r="F36" s="44"/>
      <c r="G36" s="44"/>
      <c r="H36" s="44"/>
      <c r="I36" s="44"/>
    </row>
    <row r="37" customFormat="false" ht="30" hidden="false" customHeight="true" outlineLevel="0" collapsed="false">
      <c r="A37" s="44" t="s">
        <v>262</v>
      </c>
      <c r="B37" s="44"/>
      <c r="C37" s="44"/>
      <c r="D37" s="44"/>
      <c r="E37" s="44"/>
      <c r="F37" s="44"/>
      <c r="G37" s="44"/>
      <c r="H37" s="44"/>
      <c r="I37" s="44"/>
    </row>
    <row r="38" customFormat="false" ht="30" hidden="false" customHeight="true" outlineLevel="0" collapsed="false">
      <c r="A38" s="44" t="s">
        <v>263</v>
      </c>
      <c r="B38" s="44"/>
      <c r="C38" s="44"/>
      <c r="D38" s="44"/>
      <c r="E38" s="44"/>
      <c r="F38" s="44"/>
      <c r="G38" s="44"/>
      <c r="H38" s="44"/>
      <c r="I38" s="44"/>
    </row>
    <row r="39" customFormat="false" ht="45" hidden="false" customHeight="true" outlineLevel="0" collapsed="false">
      <c r="A39" s="44" t="s">
        <v>264</v>
      </c>
      <c r="B39" s="44"/>
      <c r="C39" s="44"/>
      <c r="D39" s="44"/>
      <c r="E39" s="44"/>
      <c r="F39" s="44"/>
      <c r="G39" s="44"/>
      <c r="H39" s="44"/>
      <c r="I39" s="44"/>
    </row>
    <row r="41" customFormat="false" ht="14.9" hidden="false" customHeight="false" outlineLevel="0" collapsed="false">
      <c r="A41" s="16" t="s">
        <v>265</v>
      </c>
      <c r="B41" s="16"/>
      <c r="C41" s="16"/>
      <c r="D41" s="16"/>
      <c r="E41" s="16"/>
      <c r="F41" s="16"/>
      <c r="G41" s="16"/>
      <c r="H41" s="16"/>
      <c r="I41" s="16"/>
    </row>
    <row r="42" customFormat="false" ht="30" hidden="false" customHeight="true" outlineLevel="0" collapsed="false">
      <c r="A42" s="44" t="s">
        <v>266</v>
      </c>
      <c r="B42" s="44"/>
      <c r="C42" s="44"/>
      <c r="D42" s="44"/>
      <c r="E42" s="44"/>
      <c r="F42" s="44"/>
      <c r="G42" s="44"/>
      <c r="H42" s="44"/>
      <c r="I42" s="44"/>
    </row>
    <row r="43" customFormat="false" ht="45" hidden="false" customHeight="true" outlineLevel="0" collapsed="false">
      <c r="A43" s="44" t="s">
        <v>267</v>
      </c>
      <c r="B43" s="44"/>
      <c r="C43" s="44"/>
      <c r="D43" s="44"/>
      <c r="E43" s="44"/>
      <c r="F43" s="44"/>
      <c r="G43" s="44"/>
      <c r="H43" s="44"/>
      <c r="I43" s="44"/>
    </row>
    <row r="44" customFormat="false" ht="45" hidden="false" customHeight="true" outlineLevel="0" collapsed="false">
      <c r="A44" s="44" t="s">
        <v>268</v>
      </c>
      <c r="B44" s="44"/>
      <c r="C44" s="44"/>
      <c r="D44" s="44"/>
      <c r="E44" s="44"/>
      <c r="F44" s="44"/>
      <c r="G44" s="44"/>
      <c r="H44" s="44"/>
      <c r="I44" s="44"/>
    </row>
    <row r="45" customFormat="false" ht="30" hidden="false" customHeight="true" outlineLevel="0" collapsed="false">
      <c r="A45" s="44" t="s">
        <v>269</v>
      </c>
      <c r="B45" s="44"/>
      <c r="C45" s="44"/>
      <c r="D45" s="44"/>
      <c r="E45" s="44"/>
      <c r="F45" s="44"/>
      <c r="G45" s="44"/>
      <c r="H45" s="44"/>
      <c r="I45" s="44"/>
    </row>
    <row r="47" customFormat="false" ht="14.9" hidden="false" customHeight="false" outlineLevel="0" collapsed="false">
      <c r="A47" s="16" t="s">
        <v>270</v>
      </c>
      <c r="B47" s="16"/>
      <c r="C47" s="16"/>
      <c r="D47" s="16"/>
      <c r="E47" s="16"/>
      <c r="F47" s="16"/>
      <c r="G47" s="16"/>
      <c r="H47" s="16"/>
      <c r="I47" s="16"/>
    </row>
    <row r="48" customFormat="false" ht="45" hidden="false" customHeight="true" outlineLevel="0" collapsed="false">
      <c r="A48" s="44" t="s">
        <v>271</v>
      </c>
      <c r="B48" s="44"/>
      <c r="C48" s="44"/>
      <c r="D48" s="44"/>
      <c r="E48" s="44"/>
      <c r="F48" s="44"/>
      <c r="G48" s="44"/>
      <c r="H48" s="44"/>
      <c r="I48" s="44"/>
    </row>
    <row r="49" customFormat="false" ht="45" hidden="false" customHeight="true" outlineLevel="0" collapsed="false">
      <c r="A49" s="44" t="s">
        <v>272</v>
      </c>
      <c r="B49" s="44"/>
      <c r="C49" s="44"/>
      <c r="D49" s="44"/>
      <c r="E49" s="44"/>
      <c r="F49" s="44"/>
      <c r="G49" s="44"/>
      <c r="H49" s="44"/>
      <c r="I49" s="44"/>
    </row>
    <row r="50" customFormat="false" ht="60" hidden="false" customHeight="true" outlineLevel="0" collapsed="false">
      <c r="A50" s="44" t="s">
        <v>273</v>
      </c>
      <c r="B50" s="44"/>
      <c r="C50" s="44"/>
      <c r="D50" s="44"/>
      <c r="E50" s="44"/>
      <c r="F50" s="44"/>
      <c r="G50" s="44"/>
      <c r="H50" s="44"/>
      <c r="I50" s="44"/>
    </row>
    <row r="51" customFormat="false" ht="45" hidden="false" customHeight="true" outlineLevel="0" collapsed="false">
      <c r="A51" s="44" t="s">
        <v>274</v>
      </c>
      <c r="B51" s="44"/>
      <c r="C51" s="44"/>
      <c r="D51" s="44"/>
      <c r="E51" s="44"/>
      <c r="F51" s="44"/>
      <c r="G51" s="44"/>
      <c r="H51" s="44"/>
      <c r="I51" s="44"/>
    </row>
    <row r="52" customFormat="false" ht="45" hidden="false" customHeight="true" outlineLevel="0" collapsed="false">
      <c r="A52" s="44" t="s">
        <v>275</v>
      </c>
      <c r="B52" s="44"/>
      <c r="C52" s="44"/>
      <c r="D52" s="44"/>
      <c r="E52" s="44"/>
      <c r="F52" s="44"/>
      <c r="G52" s="44"/>
      <c r="H52" s="44"/>
      <c r="I52" s="44"/>
    </row>
    <row r="54" customFormat="false" ht="14.9" hidden="false" customHeight="false" outlineLevel="0" collapsed="false">
      <c r="A54" s="16" t="s">
        <v>276</v>
      </c>
      <c r="B54" s="16"/>
      <c r="C54" s="16"/>
      <c r="D54" s="16"/>
      <c r="E54" s="16"/>
      <c r="F54" s="16"/>
      <c r="G54" s="16"/>
      <c r="H54" s="16"/>
      <c r="I54" s="16"/>
    </row>
    <row r="55" customFormat="false" ht="45" hidden="false" customHeight="true" outlineLevel="0" collapsed="false">
      <c r="A55" s="44" t="s">
        <v>277</v>
      </c>
      <c r="B55" s="44"/>
      <c r="C55" s="44"/>
      <c r="D55" s="44"/>
      <c r="E55" s="44"/>
      <c r="F55" s="44"/>
      <c r="G55" s="44"/>
      <c r="H55" s="44"/>
      <c r="I55" s="44"/>
    </row>
    <row r="56" customFormat="false" ht="45" hidden="false" customHeight="true" outlineLevel="0" collapsed="false">
      <c r="A56" s="44" t="s">
        <v>278</v>
      </c>
      <c r="B56" s="44"/>
      <c r="C56" s="44"/>
      <c r="D56" s="44"/>
      <c r="E56" s="44"/>
      <c r="F56" s="44"/>
      <c r="G56" s="44"/>
      <c r="H56" s="44"/>
      <c r="I56" s="44"/>
    </row>
    <row r="57" customFormat="false" ht="60" hidden="false" customHeight="true" outlineLevel="0" collapsed="false">
      <c r="A57" s="44" t="s">
        <v>279</v>
      </c>
      <c r="B57" s="44"/>
      <c r="C57" s="44"/>
      <c r="D57" s="44"/>
      <c r="E57" s="44"/>
      <c r="F57" s="44"/>
      <c r="G57" s="44"/>
      <c r="H57" s="44"/>
      <c r="I57" s="44"/>
    </row>
    <row r="58" customFormat="false" ht="45" hidden="false" customHeight="true" outlineLevel="0" collapsed="false">
      <c r="A58" s="44" t="s">
        <v>280</v>
      </c>
      <c r="B58" s="44"/>
      <c r="C58" s="44"/>
      <c r="D58" s="44"/>
      <c r="E58" s="44"/>
      <c r="F58" s="44"/>
      <c r="G58" s="44"/>
      <c r="H58" s="44"/>
      <c r="I58" s="44"/>
    </row>
    <row r="60" customFormat="false" ht="14.9" hidden="false" customHeight="false" outlineLevel="0" collapsed="false">
      <c r="A60" s="16" t="s">
        <v>281</v>
      </c>
      <c r="B60" s="16"/>
      <c r="C60" s="16"/>
      <c r="D60" s="16"/>
      <c r="E60" s="16"/>
      <c r="F60" s="16"/>
      <c r="G60" s="16"/>
      <c r="H60" s="16"/>
      <c r="I60" s="16"/>
    </row>
    <row r="61" customFormat="false" ht="45" hidden="false" customHeight="true" outlineLevel="0" collapsed="false">
      <c r="A61" s="44" t="s">
        <v>282</v>
      </c>
      <c r="B61" s="44"/>
      <c r="C61" s="44"/>
      <c r="D61" s="44"/>
      <c r="E61" s="44"/>
      <c r="F61" s="44"/>
      <c r="G61" s="44"/>
      <c r="H61" s="44"/>
      <c r="I61" s="44"/>
    </row>
    <row r="62" customFormat="false" ht="30" hidden="false" customHeight="true" outlineLevel="0" collapsed="false">
      <c r="A62" s="44" t="s">
        <v>283</v>
      </c>
      <c r="B62" s="44"/>
      <c r="C62" s="44"/>
      <c r="D62" s="44"/>
      <c r="E62" s="44"/>
      <c r="F62" s="44"/>
      <c r="G62" s="44"/>
      <c r="H62" s="44"/>
      <c r="I62" s="44"/>
    </row>
    <row r="63" customFormat="false" ht="45" hidden="false" customHeight="true" outlineLevel="0" collapsed="false">
      <c r="A63" s="44" t="s">
        <v>284</v>
      </c>
      <c r="B63" s="44"/>
      <c r="C63" s="44"/>
      <c r="D63" s="44"/>
      <c r="E63" s="44"/>
      <c r="F63" s="44"/>
      <c r="G63" s="44"/>
      <c r="H63" s="44"/>
      <c r="I63" s="44"/>
    </row>
    <row r="64" customFormat="false" ht="30" hidden="false" customHeight="true" outlineLevel="0" collapsed="false">
      <c r="A64" s="44" t="s">
        <v>285</v>
      </c>
      <c r="B64" s="44"/>
      <c r="C64" s="44"/>
      <c r="D64" s="44"/>
      <c r="E64" s="44"/>
      <c r="F64" s="44"/>
      <c r="G64" s="44"/>
      <c r="H64" s="44"/>
      <c r="I64" s="44"/>
    </row>
    <row r="66" customFormat="false" ht="15" hidden="false" customHeight="true" outlineLevel="0" collapsed="false">
      <c r="A66" s="12" t="s">
        <v>286</v>
      </c>
      <c r="B66" s="12"/>
      <c r="C66" s="12"/>
      <c r="D66" s="12"/>
      <c r="E66" s="12"/>
      <c r="F66" s="12"/>
      <c r="G66" s="12"/>
      <c r="H66" s="12"/>
      <c r="I66" s="12"/>
    </row>
  </sheetData>
  <mergeCells count="40">
    <mergeCell ref="A1:I1"/>
    <mergeCell ref="A2:I2"/>
    <mergeCell ref="A4:I4"/>
    <mergeCell ref="A15:I15"/>
    <mergeCell ref="A24:I24"/>
    <mergeCell ref="A25:I25"/>
    <mergeCell ref="A26:I26"/>
    <mergeCell ref="A27:I27"/>
    <mergeCell ref="A29:I29"/>
    <mergeCell ref="A30:I30"/>
    <mergeCell ref="A31:I31"/>
    <mergeCell ref="A32:I32"/>
    <mergeCell ref="A33:I33"/>
    <mergeCell ref="A35:I35"/>
    <mergeCell ref="A36:I36"/>
    <mergeCell ref="A37:I37"/>
    <mergeCell ref="A38:I38"/>
    <mergeCell ref="A39:I39"/>
    <mergeCell ref="A41:I41"/>
    <mergeCell ref="A42:I42"/>
    <mergeCell ref="A43:I43"/>
    <mergeCell ref="A44:I44"/>
    <mergeCell ref="A45:I45"/>
    <mergeCell ref="A47:I47"/>
    <mergeCell ref="A48:I48"/>
    <mergeCell ref="A49:I49"/>
    <mergeCell ref="A50:I50"/>
    <mergeCell ref="A51:I51"/>
    <mergeCell ref="A52:I52"/>
    <mergeCell ref="A54:I54"/>
    <mergeCell ref="A55:I55"/>
    <mergeCell ref="A56:I56"/>
    <mergeCell ref="A57:I57"/>
    <mergeCell ref="A58:I58"/>
    <mergeCell ref="A60:I60"/>
    <mergeCell ref="A61:I61"/>
    <mergeCell ref="A62:I62"/>
    <mergeCell ref="A63:I63"/>
    <mergeCell ref="A64:I64"/>
    <mergeCell ref="A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2026-08-19T04:32:53Z</dcterms:created>
  <dc:creator>Apache POI</dc:creator>
  <dc:description/>
  <dc:language>en-US</dc:language>
  <cp:lastModifiedBy/>
  <dcterms:modified xsi:type="dcterms:W3CDTF">2026-08-23T10:01:05Z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